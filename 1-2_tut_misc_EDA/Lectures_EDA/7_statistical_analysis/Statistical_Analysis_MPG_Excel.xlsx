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Data" sheetId="2" state="visible" r:id="rId4"/>
    <sheet name="1-Sample T-Test" sheetId="3" state="visible" r:id="rId5"/>
    <sheet name="2-Sample T-Test" sheetId="4" state="visible" r:id="rId6"/>
    <sheet name="1-Way ANOVA" sheetId="5" state="visible" r:id="rId7"/>
    <sheet name="Correlation" sheetId="6" state="visible" r:id="rId8"/>
    <sheet name="Variance Test" sheetId="7" state="visible" r:id="rId9"/>
    <sheet name="Newer vs Older"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<sst xmlns="http://schemas.openxmlformats.org/spreadsheetml/2006/main" count="995" uniqueCount="463">
  <si>
    <t xml:space="preserve">Statistical Analysis on MPG — Excel Edition</t>
  </si>
  <si>
    <t xml:space="preserve">This workbook reproduces, using native Excel formulas, the same six hypothesis tests that were originally performed in Python (pandas + scipy.stats) in '5_statistical_analysis_MPG.ipynb'. Every number below is a live formula — change the raw data on the 'Data' tab and every test recalculates automatically.</t>
  </si>
  <si>
    <t xml:space="preserve">Assumption: the dataset (398 vehicles, same as the notebook) has been exported to a CSV and uploaded / pasted into the 'Data' tab, exactly as you would upload a CSV into pandas with pd.read_csv(). Missing 'horsepower' values were mean-imputed, matching the cleaned pickle used in the notebook.</t>
  </si>
  <si>
    <t xml:space="preserve">How this workbook is organised</t>
  </si>
  <si>
    <t xml:space="preserve">Sheet</t>
  </si>
  <si>
    <t xml:space="preserve">Test</t>
  </si>
  <si>
    <t xml:space="preserve">Python (scipy.stats)</t>
  </si>
  <si>
    <t xml:space="preserve">Excel function(s)</t>
  </si>
  <si>
    <t xml:space="preserve">Data</t>
  </si>
  <si>
    <t xml:space="preserve">Raw dataset (from CSV)</t>
  </si>
  <si>
    <t xml:space="preserve">pd.read_pickle / read_csv</t>
  </si>
  <si>
    <t xml:space="preserve">—</t>
  </si>
  <si>
    <t xml:space="preserve">1-Sample T-Test</t>
  </si>
  <si>
    <t xml:space="preserve">Is mean MPG different from 25?</t>
  </si>
  <si>
    <t xml:space="preserve">scipy.stats.ttest_1samp</t>
  </si>
  <si>
    <t xml:space="preserve">AVERAGE, STDEV.S, T.DIST.2T</t>
  </si>
  <si>
    <t xml:space="preserve">2-Sample T-Test</t>
  </si>
  <si>
    <t xml:space="preserve">USA vs Japan mean MPG</t>
  </si>
  <si>
    <t xml:space="preserve">scipy.stats.ttest_ind(equal_var=False)</t>
  </si>
  <si>
    <t xml:space="preserve">T.TEST(...,2,3)</t>
  </si>
  <si>
    <t xml:space="preserve">1-Way ANOVA</t>
  </si>
  <si>
    <t xml:space="preserve">MPG across USA / Japan / Europe</t>
  </si>
  <si>
    <t xml:space="preserve">scipy.stats.f_oneway</t>
  </si>
  <si>
    <t xml:space="preserve">DEVSQ, F.DIST.RT</t>
  </si>
  <si>
    <t xml:space="preserve">Correlation</t>
  </si>
  <si>
    <t xml:space="preserve">Weight vs MPG relationship</t>
  </si>
  <si>
    <t xml:space="preserve">scipy.stats.pearsonr</t>
  </si>
  <si>
    <t xml:space="preserve">CORREL, T.DIST.2T</t>
  </si>
  <si>
    <t xml:space="preserve">Variance Test</t>
  </si>
  <si>
    <t xml:space="preserve">USA vs Japan MPG variance</t>
  </si>
  <si>
    <t xml:space="preserve">scipy.stats.levene</t>
  </si>
  <si>
    <t xml:space="preserve">F.TEST (F-test analogue)</t>
  </si>
  <si>
    <t xml:space="preserve">Newer vs Older</t>
  </si>
  <si>
    <t xml:space="preserve">Are post-1975 cars more efficient?</t>
  </si>
  <si>
    <t xml:space="preserve">scipy.stats.ttest_ind (one-sided)</t>
  </si>
  <si>
    <t xml:space="preserve">T.TEST(...,1,3)</t>
  </si>
  <si>
    <t xml:space="preserve">Colour legend</t>
  </si>
  <si>
    <t xml:space="preserve">Input</t>
  </si>
  <si>
    <t xml:space="preserve">Yellow cells = editable assumptions (α, hypothesised mean μ₀, etc.)</t>
  </si>
  <si>
    <t xml:space="preserve">Green cells = key results (test statistic, p-value)</t>
  </si>
  <si>
    <t xml:space="preserve">Decision</t>
  </si>
  <si>
    <t xml:space="preserve">Orange cells = the Reject/Fail-to-reject conclusion</t>
  </si>
  <si>
    <t xml:space="preserve">Raw data as uploaded from CSV (this is the CSV export of the cleaned MPG dataset — equivalent to df = pd.read_csv('mpg_data.csv') in the notebook). 398 vehicles, no missing values (horsepower nulls were mean-imputed before export).</t>
  </si>
  <si>
    <t xml:space="preserve">mpg</t>
  </si>
  <si>
    <t xml:space="preserve">cylinders</t>
  </si>
  <si>
    <t xml:space="preserve">displacement</t>
  </si>
  <si>
    <t xml:space="preserve">horsepower</t>
  </si>
  <si>
    <t xml:space="preserve">weight</t>
  </si>
  <si>
    <t xml:space="preserve">acceleration</t>
  </si>
  <si>
    <t xml:space="preserve">model_year</t>
  </si>
  <si>
    <t xml:space="preserve">origin</t>
  </si>
  <si>
    <t xml:space="preserve">name</t>
  </si>
  <si>
    <t xml:space="preserve">usa</t>
  </si>
  <si>
    <t xml:space="preserve">chevrolet chevelle malibu</t>
  </si>
  <si>
    <t xml:space="preserve">buick skylark 320</t>
  </si>
  <si>
    <t xml:space="preserve">plymouth satellite</t>
  </si>
  <si>
    <t xml:space="preserve">amc rebel sst</t>
  </si>
  <si>
    <t xml:space="preserve">ford torino</t>
  </si>
  <si>
    <t xml:space="preserve">ford galaxie 500</t>
  </si>
  <si>
    <t xml:space="preserve">chevrolet impala</t>
  </si>
  <si>
    <t xml:space="preserve">plymouth fury iii</t>
  </si>
  <si>
    <t xml:space="preserve">pontiac catalina</t>
  </si>
  <si>
    <t xml:space="preserve">amc ambassador dpl</t>
  </si>
  <si>
    <t xml:space="preserve">dodge challenger se</t>
  </si>
  <si>
    <t xml:space="preserve">plymouth 'cuda 340</t>
  </si>
  <si>
    <t xml:space="preserve">chevrolet monte carlo</t>
  </si>
  <si>
    <t xml:space="preserve">buick estate wagon (sw)</t>
  </si>
  <si>
    <t xml:space="preserve">japan</t>
  </si>
  <si>
    <t xml:space="preserve">toyota corona mark ii</t>
  </si>
  <si>
    <t xml:space="preserve">plymouth duster</t>
  </si>
  <si>
    <t xml:space="preserve">amc hornet</t>
  </si>
  <si>
    <t xml:space="preserve">ford maverick</t>
  </si>
  <si>
    <t xml:space="preserve">datsun pl510</t>
  </si>
  <si>
    <t xml:space="preserve">europe</t>
  </si>
  <si>
    <t xml:space="preserve">volkswagen 1131 deluxe sedan</t>
  </si>
  <si>
    <t xml:space="preserve">peugeot 504</t>
  </si>
  <si>
    <t xml:space="preserve">audi 100 ls</t>
  </si>
  <si>
    <t xml:space="preserve">saab 99e</t>
  </si>
  <si>
    <t xml:space="preserve">bmw 2002</t>
  </si>
  <si>
    <t xml:space="preserve">amc gremlin</t>
  </si>
  <si>
    <t xml:space="preserve">ford f250</t>
  </si>
  <si>
    <t xml:space="preserve">chevy c20</t>
  </si>
  <si>
    <t xml:space="preserve">dodge d200</t>
  </si>
  <si>
    <t xml:space="preserve">hi 1200d</t>
  </si>
  <si>
    <t xml:space="preserve">chevrolet vega 2300</t>
  </si>
  <si>
    <t xml:space="preserve">toyota corona</t>
  </si>
  <si>
    <t xml:space="preserve">ford pinto</t>
  </si>
  <si>
    <t xml:space="preserve">plymouth satellite custom</t>
  </si>
  <si>
    <t xml:space="preserve">ford torino 500</t>
  </si>
  <si>
    <t xml:space="preserve">amc matador</t>
  </si>
  <si>
    <t xml:space="preserve">pontiac catalina brougham</t>
  </si>
  <si>
    <t xml:space="preserve">dodge monaco (sw)</t>
  </si>
  <si>
    <t xml:space="preserve">ford country squire (sw)</t>
  </si>
  <si>
    <t xml:space="preserve">pontiac safari (sw)</t>
  </si>
  <si>
    <t xml:space="preserve">amc hornet sportabout (sw)</t>
  </si>
  <si>
    <t xml:space="preserve">chevrolet vega (sw)</t>
  </si>
  <si>
    <t xml:space="preserve">pontiac firebird</t>
  </si>
  <si>
    <t xml:space="preserve">ford mustang</t>
  </si>
  <si>
    <t xml:space="preserve">mercury capri 2000</t>
  </si>
  <si>
    <t xml:space="preserve">opel 1900</t>
  </si>
  <si>
    <t xml:space="preserve">peugeot 304</t>
  </si>
  <si>
    <t xml:space="preserve">fiat 124b</t>
  </si>
  <si>
    <t xml:space="preserve">toyota corolla 1200</t>
  </si>
  <si>
    <t xml:space="preserve">datsun 1200</t>
  </si>
  <si>
    <t xml:space="preserve">volkswagen model 111</t>
  </si>
  <si>
    <t xml:space="preserve">plymouth cricket</t>
  </si>
  <si>
    <t xml:space="preserve">toyota corona hardtop</t>
  </si>
  <si>
    <t xml:space="preserve">dodge colt hardtop</t>
  </si>
  <si>
    <t xml:space="preserve">volkswagen type 3</t>
  </si>
  <si>
    <t xml:space="preserve">chevrolet vega</t>
  </si>
  <si>
    <t xml:space="preserve">ford pinto runabout</t>
  </si>
  <si>
    <t xml:space="preserve">amc ambassador sst</t>
  </si>
  <si>
    <t xml:space="preserve">mercury marquis</t>
  </si>
  <si>
    <t xml:space="preserve">buick lesabre custom</t>
  </si>
  <si>
    <t xml:space="preserve">oldsmobile delta 88 royale</t>
  </si>
  <si>
    <t xml:space="preserve">chrysler newport royal</t>
  </si>
  <si>
    <t xml:space="preserve">mazda rx2 coupe</t>
  </si>
  <si>
    <t xml:space="preserve">amc matador (sw)</t>
  </si>
  <si>
    <t xml:space="preserve">chevrolet chevelle concours (sw)</t>
  </si>
  <si>
    <t xml:space="preserve">ford gran torino (sw)</t>
  </si>
  <si>
    <t xml:space="preserve">plymouth satellite custom (sw)</t>
  </si>
  <si>
    <t xml:space="preserve">volvo 145e (sw)</t>
  </si>
  <si>
    <t xml:space="preserve">volkswagen 411 (sw)</t>
  </si>
  <si>
    <t xml:space="preserve">peugeot 504 (sw)</t>
  </si>
  <si>
    <t xml:space="preserve">renault 12 (sw)</t>
  </si>
  <si>
    <t xml:space="preserve">ford pinto (sw)</t>
  </si>
  <si>
    <t xml:space="preserve">datsun 510 (sw)</t>
  </si>
  <si>
    <t xml:space="preserve">toyouta corona mark ii (sw)</t>
  </si>
  <si>
    <t xml:space="preserve">dodge colt (sw)</t>
  </si>
  <si>
    <t xml:space="preserve">toyota corolla 1600 (sw)</t>
  </si>
  <si>
    <t xml:space="preserve">buick century 350</t>
  </si>
  <si>
    <t xml:space="preserve">chevrolet malibu</t>
  </si>
  <si>
    <t xml:space="preserve">ford gran torino</t>
  </si>
  <si>
    <t xml:space="preserve">dodge coronet custom</t>
  </si>
  <si>
    <t xml:space="preserve">mercury marquis brougham</t>
  </si>
  <si>
    <t xml:space="preserve">chevrolet caprice classic</t>
  </si>
  <si>
    <t xml:space="preserve">ford ltd</t>
  </si>
  <si>
    <t xml:space="preserve">plymouth fury gran sedan</t>
  </si>
  <si>
    <t xml:space="preserve">chrysler new yorker brougham</t>
  </si>
  <si>
    <t xml:space="preserve">buick electra 225 custom</t>
  </si>
  <si>
    <t xml:space="preserve">amc ambassador brougham</t>
  </si>
  <si>
    <t xml:space="preserve">plymouth valiant</t>
  </si>
  <si>
    <t xml:space="preserve">chevrolet nova custom</t>
  </si>
  <si>
    <t xml:space="preserve">volkswagen super beetle</t>
  </si>
  <si>
    <t xml:space="preserve">ford country</t>
  </si>
  <si>
    <t xml:space="preserve">plymouth custom suburb</t>
  </si>
  <si>
    <t xml:space="preserve">oldsmobile vista cruiser</t>
  </si>
  <si>
    <t xml:space="preserve">toyota carina</t>
  </si>
  <si>
    <t xml:space="preserve">datsun 610</t>
  </si>
  <si>
    <t xml:space="preserve">maxda rx3</t>
  </si>
  <si>
    <t xml:space="preserve">mercury capri v6</t>
  </si>
  <si>
    <t xml:space="preserve">fiat 124 sport coupe</t>
  </si>
  <si>
    <t xml:space="preserve">chevrolet monte carlo s</t>
  </si>
  <si>
    <t xml:space="preserve">pontiac grand prix</t>
  </si>
  <si>
    <t xml:space="preserve">fiat 128</t>
  </si>
  <si>
    <t xml:space="preserve">opel manta</t>
  </si>
  <si>
    <t xml:space="preserve">audi 100ls</t>
  </si>
  <si>
    <t xml:space="preserve">volvo 144ea</t>
  </si>
  <si>
    <t xml:space="preserve">dodge dart custom</t>
  </si>
  <si>
    <t xml:space="preserve">saab 99le</t>
  </si>
  <si>
    <t xml:space="preserve">toyota mark ii</t>
  </si>
  <si>
    <t xml:space="preserve">oldsmobile omega</t>
  </si>
  <si>
    <t xml:space="preserve">chevrolet nova</t>
  </si>
  <si>
    <t xml:space="preserve">datsun b210</t>
  </si>
  <si>
    <t xml:space="preserve">chevrolet chevelle malibu classic</t>
  </si>
  <si>
    <t xml:space="preserve">plymouth satellite sebring</t>
  </si>
  <si>
    <t xml:space="preserve">buick century luxus (sw)</t>
  </si>
  <si>
    <t xml:space="preserve">dodge coronet custom (sw)</t>
  </si>
  <si>
    <t xml:space="preserve">audi fox</t>
  </si>
  <si>
    <t xml:space="preserve">volkswagen dasher</t>
  </si>
  <si>
    <t xml:space="preserve">datsun 710</t>
  </si>
  <si>
    <t xml:space="preserve">dodge colt</t>
  </si>
  <si>
    <t xml:space="preserve">fiat 124 tc</t>
  </si>
  <si>
    <t xml:space="preserve">honda civic</t>
  </si>
  <si>
    <t xml:space="preserve">subaru</t>
  </si>
  <si>
    <t xml:space="preserve">fiat x1.9</t>
  </si>
  <si>
    <t xml:space="preserve">plymouth valiant custom</t>
  </si>
  <si>
    <t xml:space="preserve">mercury monarch</t>
  </si>
  <si>
    <t xml:space="preserve">chevrolet bel air</t>
  </si>
  <si>
    <t xml:space="preserve">plymouth grand fury</t>
  </si>
  <si>
    <t xml:space="preserve">buick century</t>
  </si>
  <si>
    <t xml:space="preserve">chevroelt chevelle malibu</t>
  </si>
  <si>
    <t xml:space="preserve">plymouth fury</t>
  </si>
  <si>
    <t xml:space="preserve">buick skyhawk</t>
  </si>
  <si>
    <t xml:space="preserve">chevrolet monza 2+2</t>
  </si>
  <si>
    <t xml:space="preserve">ford mustang ii</t>
  </si>
  <si>
    <t xml:space="preserve">toyota corolla</t>
  </si>
  <si>
    <t xml:space="preserve">pontiac astro</t>
  </si>
  <si>
    <t xml:space="preserve">volkswagen rabbit</t>
  </si>
  <si>
    <t xml:space="preserve">amc pacer</t>
  </si>
  <si>
    <t xml:space="preserve">volvo 244dl</t>
  </si>
  <si>
    <t xml:space="preserve">honda civic cvcc</t>
  </si>
  <si>
    <t xml:space="preserve">fiat 131</t>
  </si>
  <si>
    <t xml:space="preserve">capri ii</t>
  </si>
  <si>
    <t xml:space="preserve">renault 12tl</t>
  </si>
  <si>
    <t xml:space="preserve">dodge coronet brougham</t>
  </si>
  <si>
    <t xml:space="preserve">chevrolet chevette</t>
  </si>
  <si>
    <t xml:space="preserve">chevrolet woody</t>
  </si>
  <si>
    <t xml:space="preserve">vw rabbit</t>
  </si>
  <si>
    <t xml:space="preserve">dodge aspen se</t>
  </si>
  <si>
    <t xml:space="preserve">ford granada ghia</t>
  </si>
  <si>
    <t xml:space="preserve">pontiac ventura sj</t>
  </si>
  <si>
    <t xml:space="preserve">amc pacer d/l</t>
  </si>
  <si>
    <t xml:space="preserve">datsun b-210</t>
  </si>
  <si>
    <t xml:space="preserve">volvo 245</t>
  </si>
  <si>
    <t xml:space="preserve">plymouth volare premier v8</t>
  </si>
  <si>
    <t xml:space="preserve">mercedes-benz 280s</t>
  </si>
  <si>
    <t xml:space="preserve">cadillac seville</t>
  </si>
  <si>
    <t xml:space="preserve">chevy c10</t>
  </si>
  <si>
    <t xml:space="preserve">ford f108</t>
  </si>
  <si>
    <t xml:space="preserve">dodge d100</t>
  </si>
  <si>
    <t xml:space="preserve">honda accord cvcc</t>
  </si>
  <si>
    <t xml:space="preserve">buick opel isuzu deluxe</t>
  </si>
  <si>
    <t xml:space="preserve">renault 5 gtl</t>
  </si>
  <si>
    <t xml:space="preserve">plymouth arrow gs</t>
  </si>
  <si>
    <t xml:space="preserve">datsun f-10 hatchback</t>
  </si>
  <si>
    <t xml:space="preserve">oldsmobile cutlass supreme</t>
  </si>
  <si>
    <t xml:space="preserve">dodge monaco brougham</t>
  </si>
  <si>
    <t xml:space="preserve">mercury cougar brougham</t>
  </si>
  <si>
    <t xml:space="preserve">chevrolet concours</t>
  </si>
  <si>
    <t xml:space="preserve">buick skylark</t>
  </si>
  <si>
    <t xml:space="preserve">plymouth volare custom</t>
  </si>
  <si>
    <t xml:space="preserve">ford granada</t>
  </si>
  <si>
    <t xml:space="preserve">pontiac grand prix lj</t>
  </si>
  <si>
    <t xml:space="preserve">chevrolet monte carlo landau</t>
  </si>
  <si>
    <t xml:space="preserve">chrysler cordoba</t>
  </si>
  <si>
    <t xml:space="preserve">ford thunderbird</t>
  </si>
  <si>
    <t xml:space="preserve">volkswagen rabbit custom</t>
  </si>
  <si>
    <t xml:space="preserve">pontiac sunbird coupe</t>
  </si>
  <si>
    <t xml:space="preserve">toyota corolla liftback</t>
  </si>
  <si>
    <t xml:space="preserve">ford mustang ii 2+2</t>
  </si>
  <si>
    <t xml:space="preserve">dodge colt m/m</t>
  </si>
  <si>
    <t xml:space="preserve">subaru dl</t>
  </si>
  <si>
    <t xml:space="preserve">datsun 810</t>
  </si>
  <si>
    <t xml:space="preserve">bmw 320i</t>
  </si>
  <si>
    <t xml:space="preserve">mazda rx-4</t>
  </si>
  <si>
    <t xml:space="preserve">volkswagen rabbit custom diesel</t>
  </si>
  <si>
    <t xml:space="preserve">ford fiesta</t>
  </si>
  <si>
    <t xml:space="preserve">mazda glc deluxe</t>
  </si>
  <si>
    <t xml:space="preserve">datsun b210 gx</t>
  </si>
  <si>
    <t xml:space="preserve">oldsmobile cutlass salon brougham</t>
  </si>
  <si>
    <t xml:space="preserve">dodge diplomat</t>
  </si>
  <si>
    <t xml:space="preserve">mercury monarch ghia</t>
  </si>
  <si>
    <t xml:space="preserve">pontiac phoenix lj</t>
  </si>
  <si>
    <t xml:space="preserve">ford fairmont (auto)</t>
  </si>
  <si>
    <t xml:space="preserve">ford fairmont (man)</t>
  </si>
  <si>
    <t xml:space="preserve">plymouth volare</t>
  </si>
  <si>
    <t xml:space="preserve">amc concord</t>
  </si>
  <si>
    <t xml:space="preserve">buick century special</t>
  </si>
  <si>
    <t xml:space="preserve">mercury zephyr</t>
  </si>
  <si>
    <t xml:space="preserve">dodge aspen</t>
  </si>
  <si>
    <t xml:space="preserve">amc concord d/l</t>
  </si>
  <si>
    <t xml:space="preserve">buick regal sport coupe (turbo)</t>
  </si>
  <si>
    <t xml:space="preserve">ford futura</t>
  </si>
  <si>
    <t xml:space="preserve">dodge magnum xe</t>
  </si>
  <si>
    <t xml:space="preserve">datsun 510</t>
  </si>
  <si>
    <t xml:space="preserve">dodge omni</t>
  </si>
  <si>
    <t xml:space="preserve">toyota celica gt liftback</t>
  </si>
  <si>
    <t xml:space="preserve">plymouth sapporo</t>
  </si>
  <si>
    <t xml:space="preserve">oldsmobile starfire sx</t>
  </si>
  <si>
    <t xml:space="preserve">datsun 200-sx</t>
  </si>
  <si>
    <t xml:space="preserve">audi 5000</t>
  </si>
  <si>
    <t xml:space="preserve">volvo 264gl</t>
  </si>
  <si>
    <t xml:space="preserve">saab 99gle</t>
  </si>
  <si>
    <t xml:space="preserve">peugeot 604sl</t>
  </si>
  <si>
    <t xml:space="preserve">volkswagen scirocco</t>
  </si>
  <si>
    <t xml:space="preserve">honda accord lx</t>
  </si>
  <si>
    <t xml:space="preserve">pontiac lemans v6</t>
  </si>
  <si>
    <t xml:space="preserve">mercury zephyr 6</t>
  </si>
  <si>
    <t xml:space="preserve">ford fairmont 4</t>
  </si>
  <si>
    <t xml:space="preserve">amc concord dl 6</t>
  </si>
  <si>
    <t xml:space="preserve">dodge aspen 6</t>
  </si>
  <si>
    <t xml:space="preserve">ford ltd landau</t>
  </si>
  <si>
    <t xml:space="preserve">mercury grand marquis</t>
  </si>
  <si>
    <t xml:space="preserve">dodge st. regis</t>
  </si>
  <si>
    <t xml:space="preserve">chevrolet malibu classic (sw)</t>
  </si>
  <si>
    <t xml:space="preserve">chrysler lebaron town @ country (sw)</t>
  </si>
  <si>
    <t xml:space="preserve">vw rabbit custom</t>
  </si>
  <si>
    <t xml:space="preserve">maxda glc deluxe</t>
  </si>
  <si>
    <t xml:space="preserve">dodge colt hatchback custom</t>
  </si>
  <si>
    <t xml:space="preserve">amc spirit dl</t>
  </si>
  <si>
    <t xml:space="preserve">mercedes benz 300d</t>
  </si>
  <si>
    <t xml:space="preserve">cadillac eldorado</t>
  </si>
  <si>
    <t xml:space="preserve">plymouth horizon</t>
  </si>
  <si>
    <t xml:space="preserve">plymouth horizon tc3</t>
  </si>
  <si>
    <t xml:space="preserve">datsun 210</t>
  </si>
  <si>
    <t xml:space="preserve">fiat strada custom</t>
  </si>
  <si>
    <t xml:space="preserve">buick skylark limited</t>
  </si>
  <si>
    <t xml:space="preserve">chevrolet citation</t>
  </si>
  <si>
    <t xml:space="preserve">oldsmobile omega brougham</t>
  </si>
  <si>
    <t xml:space="preserve">pontiac phoenix</t>
  </si>
  <si>
    <t xml:space="preserve">toyota corolla tercel</t>
  </si>
  <si>
    <t xml:space="preserve">datsun 310</t>
  </si>
  <si>
    <t xml:space="preserve">ford fairmont</t>
  </si>
  <si>
    <t xml:space="preserve">audi 4000</t>
  </si>
  <si>
    <t xml:space="preserve">toyota corona liftback</t>
  </si>
  <si>
    <t xml:space="preserve">mazda 626</t>
  </si>
  <si>
    <t xml:space="preserve">datsun 510 hatchback</t>
  </si>
  <si>
    <t xml:space="preserve">mazda glc</t>
  </si>
  <si>
    <t xml:space="preserve">vw rabbit c (diesel)</t>
  </si>
  <si>
    <t xml:space="preserve">vw dasher (diesel)</t>
  </si>
  <si>
    <t xml:space="preserve">audi 5000s (diesel)</t>
  </si>
  <si>
    <t xml:space="preserve">mercedes-benz 240d</t>
  </si>
  <si>
    <t xml:space="preserve">honda civic 1500 gl</t>
  </si>
  <si>
    <t xml:space="preserve">renault lecar deluxe</t>
  </si>
  <si>
    <t xml:space="preserve">vokswagen rabbit</t>
  </si>
  <si>
    <t xml:space="preserve">datsun 280-zx</t>
  </si>
  <si>
    <t xml:space="preserve">mazda rx-7 gs</t>
  </si>
  <si>
    <t xml:space="preserve">triumph tr7 coupe</t>
  </si>
  <si>
    <t xml:space="preserve">ford mustang cobra</t>
  </si>
  <si>
    <t xml:space="preserve">honda accord</t>
  </si>
  <si>
    <t xml:space="preserve">plymouth reliant</t>
  </si>
  <si>
    <t xml:space="preserve">dodge aries wagon (sw)</t>
  </si>
  <si>
    <t xml:space="preserve">toyota starlet</t>
  </si>
  <si>
    <t xml:space="preserve">plymouth champ</t>
  </si>
  <si>
    <t xml:space="preserve">honda civic 1300</t>
  </si>
  <si>
    <t xml:space="preserve">datsun 210 mpg</t>
  </si>
  <si>
    <t xml:space="preserve">toyota tercel</t>
  </si>
  <si>
    <t xml:space="preserve">mazda glc 4</t>
  </si>
  <si>
    <t xml:space="preserve">plymouth horizon 4</t>
  </si>
  <si>
    <t xml:space="preserve">ford escort 4w</t>
  </si>
  <si>
    <t xml:space="preserve">ford escort 2h</t>
  </si>
  <si>
    <t xml:space="preserve">volkswagen jetta</t>
  </si>
  <si>
    <t xml:space="preserve">renault 18i</t>
  </si>
  <si>
    <t xml:space="preserve">honda prelude</t>
  </si>
  <si>
    <t xml:space="preserve">datsun 200sx</t>
  </si>
  <si>
    <t xml:space="preserve">peugeot 505s turbo diesel</t>
  </si>
  <si>
    <t xml:space="preserve">volvo diesel</t>
  </si>
  <si>
    <t xml:space="preserve">toyota cressida</t>
  </si>
  <si>
    <t xml:space="preserve">datsun 810 maxima</t>
  </si>
  <si>
    <t xml:space="preserve">oldsmobile cutlass ls</t>
  </si>
  <si>
    <t xml:space="preserve">ford granada gl</t>
  </si>
  <si>
    <t xml:space="preserve">chrysler lebaron salon</t>
  </si>
  <si>
    <t xml:space="preserve">chevrolet cavalier</t>
  </si>
  <si>
    <t xml:space="preserve">chevrolet cavalier wagon</t>
  </si>
  <si>
    <t xml:space="preserve">chevrolet cavalier 2-door</t>
  </si>
  <si>
    <t xml:space="preserve">pontiac j2000 se hatchback</t>
  </si>
  <si>
    <t xml:space="preserve">dodge aries se</t>
  </si>
  <si>
    <t xml:space="preserve">ford fairmont futura</t>
  </si>
  <si>
    <t xml:space="preserve">amc concord dl</t>
  </si>
  <si>
    <t xml:space="preserve">volkswagen rabbit l</t>
  </si>
  <si>
    <t xml:space="preserve">mazda glc custom l</t>
  </si>
  <si>
    <t xml:space="preserve">mazda glc custom</t>
  </si>
  <si>
    <t xml:space="preserve">plymouth horizon miser</t>
  </si>
  <si>
    <t xml:space="preserve">mercury lynx l</t>
  </si>
  <si>
    <t xml:space="preserve">nissan stanza xe</t>
  </si>
  <si>
    <t xml:space="preserve">honda civic (auto)</t>
  </si>
  <si>
    <t xml:space="preserve">datsun 310 gx</t>
  </si>
  <si>
    <t xml:space="preserve">buick century limited</t>
  </si>
  <si>
    <t xml:space="preserve">oldsmobile cutlass ciera (diesel)</t>
  </si>
  <si>
    <t xml:space="preserve">chrysler lebaron medallion</t>
  </si>
  <si>
    <t xml:space="preserve">ford granada l</t>
  </si>
  <si>
    <t xml:space="preserve">toyota celica gt</t>
  </si>
  <si>
    <t xml:space="preserve">dodge charger 2.2</t>
  </si>
  <si>
    <t xml:space="preserve">chevrolet camaro</t>
  </si>
  <si>
    <t xml:space="preserve">ford mustang gl</t>
  </si>
  <si>
    <t xml:space="preserve">vw pickup</t>
  </si>
  <si>
    <t xml:space="preserve">dodge rampage</t>
  </si>
  <si>
    <t xml:space="preserve">ford ranger</t>
  </si>
  <si>
    <t xml:space="preserve">chevy s-10</t>
  </si>
  <si>
    <t xml:space="preserve">One-Sample T-Test — Is average MPG different from 25?</t>
  </si>
  <si>
    <t xml:space="preserve">Problem &amp; Hypotheses</t>
  </si>
  <si>
    <t xml:space="preserve">We are given a sample of vehicles with an observed sample mean MPG. Determine whether the population mean MPG is significantly different from 25 at significance level α = 0.05. This is a two-tailed test.</t>
  </si>
  <si>
    <t xml:space="preserve">H0 (null):</t>
  </si>
  <si>
    <t xml:space="preserve">True average MPG = 25</t>
  </si>
  <si>
    <t xml:space="preserve">H1 (alternative):</t>
  </si>
  <si>
    <t xml:space="preserve">True average MPG ≠ 25</t>
  </si>
  <si>
    <t xml:space="preserve">Step 1 — Sample statistics</t>
  </si>
  <si>
    <t xml:space="preserve">Sample size (n)</t>
  </si>
  <si>
    <t xml:space="preserve">Sample mean</t>
  </si>
  <si>
    <t xml:space="preserve">Sample std dev (s)</t>
  </si>
  <si>
    <t xml:space="preserve">Step 2 — Hypothesised mean &amp; test statistic</t>
  </si>
  <si>
    <t xml:space="preserve">Hypothesised mean (μ₀)</t>
  </si>
  <si>
    <t xml:space="preserve">Standard error (s / √n)</t>
  </si>
  <si>
    <t xml:space="preserve">t-statistic</t>
  </si>
  <si>
    <t xml:space="preserve">Degrees of freedom (n-1)</t>
  </si>
  <si>
    <t xml:space="preserve">Step 3 — p-value &amp; decision</t>
  </si>
  <si>
    <t xml:space="preserve">p-value (two-tailed)</t>
  </si>
  <si>
    <t xml:space="preserve">Significance level (α)</t>
  </si>
  <si>
    <t xml:space="preserve">What the p-value means</t>
  </si>
  <si>
    <t xml:space="preserve">The p-value is the probability of observing a sample mean this far (or farther) from the hypothesised mean of 25, if the true population mean really were 25.</t>
  </si>
  <si>
    <t xml:space="preserve">Report</t>
  </si>
  <si>
    <t xml:space="preserve">Two-Sample T-Test — USA vs Japan MPG</t>
  </si>
  <si>
    <t xml:space="preserve">Determine whether the average MPG differs between vehicles manufactured in the USA and Japan, at significance level α = 0.05 (two-tailed, independent samples). Sample sizes and variances differ between groups, so we use Welch's t-test (unequal variances).</t>
  </si>
  <si>
    <t xml:space="preserve">mean MPG (USA) = mean MPG (Japan)</t>
  </si>
  <si>
    <t xml:space="preserve">mean MPG (USA) ≠ mean MPG (Japan)</t>
  </si>
  <si>
    <t xml:space="preserve">Helper columns — pull each origin's MPG values</t>
  </si>
  <si>
    <t xml:space="preserve">Column F = MPG for USA rows only, Column G = MPG for Japan rows only (blank otherwise).</t>
  </si>
  <si>
    <t xml:space="preserve">Step 1 — Group statistics</t>
  </si>
  <si>
    <t xml:space="preserve">USA_mpg</t>
  </si>
  <si>
    <t xml:space="preserve">Japan_mpg</t>
  </si>
  <si>
    <t xml:space="preserve">n (USA)</t>
  </si>
  <si>
    <t xml:space="preserve">n (Japan)</t>
  </si>
  <si>
    <t xml:space="preserve">Mean MPG (USA)</t>
  </si>
  <si>
    <t xml:space="preserve">Mean MPG (Japan)</t>
  </si>
  <si>
    <t xml:space="preserve">Std dev (USA)</t>
  </si>
  <si>
    <t xml:space="preserve">Std dev (Japan)</t>
  </si>
  <si>
    <t xml:space="preserve">Step 2 — Welch's t-statistic &amp; p-value</t>
  </si>
  <si>
    <t xml:space="preserve">t-statistic (Welch)</t>
  </si>
  <si>
    <t xml:space="preserve">p-value (two-tailed, Welch)</t>
  </si>
  <si>
    <t xml:space="preserve">TTEST(range1, range2, tails, type) — type 3 = two-sample unequal variance (Welch)</t>
  </si>
  <si>
    <t xml:space="preserve">The p-value is the probability of observing a difference between the USA and Japan sample means at least this large, if the true population means were actually identical.</t>
  </si>
  <si>
    <t xml:space="preserve">One-Way ANOVA — MPG across USA / Japan / Europe</t>
  </si>
  <si>
    <t xml:space="preserve">Is the difference in average MPG across USA, Japan, and Europe statistically significant, at significance level α = 0.05? A one-way ANOVA compares between-group variance to within-group variance.</t>
  </si>
  <si>
    <t xml:space="preserve">mean MPG (USA) = mean MPG (Japan) = mean MPG (Europe)</t>
  </si>
  <si>
    <t xml:space="preserve">At least one origin has a different mean MPG</t>
  </si>
  <si>
    <t xml:space="preserve">Column F = USA MPG, Column G = Japan MPG, Column H = Europe MPG (blank otherwise).</t>
  </si>
  <si>
    <t xml:space="preserve">Step 1 — Group means, std dev, counts</t>
  </si>
  <si>
    <t xml:space="preserve">Europe_mpg</t>
  </si>
  <si>
    <t xml:space="preserve">n (USA) / n (Japan) / n (Europe)</t>
  </si>
  <si>
    <t xml:space="preserve">Mean MPG (USA / Japan / Europe)</t>
  </si>
  <si>
    <t xml:space="preserve">Std dev (USA / Japan / Europe)</t>
  </si>
  <si>
    <t xml:space="preserve">Step 2 — Sum of squares (via DEVSQ)</t>
  </si>
  <si>
    <t xml:space="preserve">Total SS (all vehicles)</t>
  </si>
  <si>
    <t xml:space="preserve">Within-group SS (sum of each group's SS)</t>
  </si>
  <si>
    <t xml:space="preserve">Between-group SS (Total − Within)</t>
  </si>
  <si>
    <t xml:space="preserve">Step 3 — F-statistic &amp; p-value</t>
  </si>
  <si>
    <t xml:space="preserve">df between (k-1)</t>
  </si>
  <si>
    <t xml:space="preserve">df within (N-k)</t>
  </si>
  <si>
    <t xml:space="preserve">MS between</t>
  </si>
  <si>
    <t xml:space="preserve">MS within</t>
  </si>
  <si>
    <t xml:space="preserve">F-statistic</t>
  </si>
  <si>
    <t xml:space="preserve">p-value</t>
  </si>
  <si>
    <t xml:space="preserve">FDIST = right-tailed F-distribution p-value</t>
  </si>
  <si>
    <t xml:space="preserve">The p-value is the probability of observing group mean differences at least this large if the true means for USA, Japan, and Europe were actually identical.</t>
  </si>
  <si>
    <t xml:space="preserve">Correlation Significance Test — Weight vs MPG</t>
  </si>
  <si>
    <t xml:space="preserve">Is the relationship between weight and MPG statistically significant, at significance level α = 0.05? We test whether the observed correlation reflects a real population-level association, using a Pearson correlation significance test.</t>
  </si>
  <si>
    <t xml:space="preserve">ρ = 0 (no correlation)</t>
  </si>
  <si>
    <t xml:space="preserve">ρ ≠ 0 (there is correlation)</t>
  </si>
  <si>
    <t xml:space="preserve">Step 1 — Correlation coefficient</t>
  </si>
  <si>
    <t xml:space="preserve">n</t>
  </si>
  <si>
    <t xml:space="preserve">Correlation (r)</t>
  </si>
  <si>
    <t xml:space="preserve">Step 2 — t-statistic &amp; p-value</t>
  </si>
  <si>
    <t xml:space="preserve">t-statistic  (r·√(n-2) / √(1-r²))</t>
  </si>
  <si>
    <t xml:space="preserve">Degrees of freedom (n-2)</t>
  </si>
  <si>
    <t xml:space="preserve">The p-value is the probability of observing a correlation this far from zero in a sample, if there were actually no relationship between weight and MPG in the population.</t>
  </si>
  <si>
    <t xml:space="preserve">Variance Test — USA vs Japan MPG variance</t>
  </si>
  <si>
    <t xml:space="preserve">Is there a statistically significant difference in MPG variance between USA and Japan cars, at significance level α = 0.05? The notebook used Levene's test (robust to non-normality); Excel's built-in equivalent is the F-test for equality of two variances (FTEST), which is the classic parametric analogue and gives the same practical conclusion here.</t>
  </si>
  <si>
    <t xml:space="preserve">Var(MPG, USA) = Var(MPG, Japan)</t>
  </si>
  <si>
    <t xml:space="preserve">Variances are different</t>
  </si>
  <si>
    <t xml:space="preserve">Column F = MPG for USA rows only, Column G = MPG for Japan rows only.</t>
  </si>
  <si>
    <t xml:space="preserve">Step 1 — Variance by group</t>
  </si>
  <si>
    <t xml:space="preserve">Variance (USA)</t>
  </si>
  <si>
    <t xml:space="preserve">Variance (Japan)</t>
  </si>
  <si>
    <t xml:space="preserve">Step 2 — F-test for equality of variances</t>
  </si>
  <si>
    <t xml:space="preserve">F ratio (larger var / smaller var)</t>
  </si>
  <si>
    <t xml:space="preserve">p-value (two-tailed F-test)</t>
  </si>
  <si>
    <t xml:space="preserve">The p-value is the probability of observing a variance ratio this different between USA and Japan cars if the true population variances were actually identical.</t>
  </si>
  <si>
    <t xml:space="preserve">One-Sided T-Test — Are newer cars (post-1975) more efficient?</t>
  </si>
  <si>
    <t xml:space="preserve">Compare average MPG for cars from model years 1976+ ('newer') vs 1975 and earlier ('older'), at significance level α = 0.05. This is a one-sided Welch's t-test.</t>
  </si>
  <si>
    <t xml:space="preserve">Newer and older cars have the same mean MPG</t>
  </si>
  <si>
    <t xml:space="preserve">Newer cars have higher mean MPG than older cars</t>
  </si>
  <si>
    <t xml:space="preserve">Helper columns — split MPG by era</t>
  </si>
  <si>
    <t xml:space="preserve">Column F = MPG for model_year ≤ 75 ('older'), Column G = MPG for model_year &gt; 75 ('newer').</t>
  </si>
  <si>
    <t xml:space="preserve">Older_mpg</t>
  </si>
  <si>
    <t xml:space="preserve">Newer_mpg</t>
  </si>
  <si>
    <t xml:space="preserve">n (older) / n (newer)</t>
  </si>
  <si>
    <t xml:space="preserve">Mean MPG (older)</t>
  </si>
  <si>
    <t xml:space="preserve">Mean MPG (newer)</t>
  </si>
  <si>
    <t xml:space="preserve">Step 2 — One-sided Welch's t-test</t>
  </si>
  <si>
    <t xml:space="preserve">p-value (one-tailed, newer &gt; older)</t>
  </si>
  <si>
    <t xml:space="preserve">TTEST(array1, array2, tails=1, type=3) — one-tailed, unequal variance (Welch)</t>
  </si>
  <si>
    <t xml:space="preserve">The p-value is the probability of observing newer cars with a mean MPG this much higher than older cars, if newer and older cars actually had the same true mean MPG.</t>
  </si>
</sst>
</file>

<file path=xl/styles.xml><?xml version="1.0" encoding="utf-8"?>
<styleSheet xmlns="http://schemas.openxmlformats.org/spreadsheetml/2006/main">
  <numFmts count="6">
    <numFmt numFmtId="164" formatCode="General"/>
    <numFmt numFmtId="165" formatCode="General"/>
    <numFmt numFmtId="166" formatCode="0.00"/>
    <numFmt numFmtId="167" formatCode="0.0000"/>
    <numFmt numFmtId="168" formatCode="0.000000"/>
    <numFmt numFmtId="169" formatCode="0.0000000000"/>
  </numFmts>
  <fonts count="12">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i val="true"/>
      <sz val="10"/>
      <color rgb="FF595959"/>
      <name val="Arial"/>
      <family val="0"/>
      <charset val="1"/>
    </font>
    <font>
      <b val="true"/>
      <sz val="11"/>
      <color rgb="FFFFFFFF"/>
      <name val="Arial"/>
      <family val="0"/>
      <charset val="1"/>
    </font>
    <font>
      <b val="true"/>
      <sz val="10"/>
      <color rgb="FFFFFFFF"/>
      <name val="Arial"/>
      <family val="0"/>
      <charset val="1"/>
    </font>
    <font>
      <sz val="10"/>
      <name val="Arial"/>
      <family val="0"/>
      <charset val="1"/>
    </font>
    <font>
      <b val="true"/>
      <sz val="10"/>
      <color rgb="FF0000FF"/>
      <name val="Arial"/>
      <family val="0"/>
      <charset val="1"/>
    </font>
    <font>
      <b val="true"/>
      <sz val="10"/>
      <name val="Arial"/>
      <family val="0"/>
      <charset val="1"/>
    </font>
    <font>
      <b val="true"/>
      <sz val="11"/>
      <name val="Arial"/>
      <family val="0"/>
      <charset val="1"/>
    </font>
  </fonts>
  <fills count="9">
    <fill>
      <patternFill patternType="none"/>
    </fill>
    <fill>
      <patternFill patternType="gray125"/>
    </fill>
    <fill>
      <patternFill patternType="solid">
        <fgColor rgb="FF1F4E78"/>
        <bgColor rgb="FF003366"/>
      </patternFill>
    </fill>
    <fill>
      <patternFill patternType="solid">
        <fgColor rgb="FF2E75B6"/>
        <bgColor rgb="FF0066CC"/>
      </patternFill>
    </fill>
    <fill>
      <patternFill patternType="solid">
        <fgColor rgb="FF404040"/>
        <bgColor rgb="FF333300"/>
      </patternFill>
    </fill>
    <fill>
      <patternFill patternType="solid">
        <fgColor rgb="FFFFF2CC"/>
        <bgColor rgb="FFFCE4D6"/>
      </patternFill>
    </fill>
    <fill>
      <patternFill patternType="solid">
        <fgColor rgb="FFE2EFDA"/>
        <bgColor rgb="FFF2F2F2"/>
      </patternFill>
    </fill>
    <fill>
      <patternFill patternType="solid">
        <fgColor rgb="FFFCE4D6"/>
        <bgColor rgb="FFFFF2CC"/>
      </patternFill>
    </fill>
    <fill>
      <patternFill patternType="solid">
        <fgColor rgb="FFF2F2F2"/>
        <bgColor rgb="FFE2EFDA"/>
      </patternFill>
    </fill>
  </fills>
  <borders count="4">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top style="thin">
        <color rgb="FFBFBFBF"/>
      </top>
      <bottom style="thin">
        <color rgb="FFBFBFBF"/>
      </bottom>
      <diagonal/>
    </border>
    <border diagonalUp="false" diagonalDown="false">
      <left style="thin">
        <color rgb="FFBFBFBF"/>
      </left>
      <right/>
      <top style="thin">
        <color rgb="FFBFBFBF"/>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1" shrinkToFit="false"/>
      <protection locked="true" hidden="false"/>
    </xf>
    <xf numFmtId="164" fontId="5" fillId="0" borderId="0" xfId="0" applyFont="true" applyBorder="true" applyAlignment="true" applyProtection="false">
      <alignment horizontal="left" vertical="top" textRotation="0" wrapText="true" indent="0" shrinkToFit="false"/>
      <protection locked="true" hidden="false"/>
    </xf>
    <xf numFmtId="164" fontId="6" fillId="3" borderId="0" xfId="0" applyFont="true" applyBorder="true" applyAlignment="true" applyProtection="false">
      <alignment horizontal="left" vertical="center" textRotation="0" wrapText="false" indent="1" shrinkToFit="false"/>
      <protection locked="true" hidden="false"/>
    </xf>
    <xf numFmtId="164" fontId="7" fillId="4" borderId="1" xfId="0" applyFont="true" applyBorder="true" applyAlignment="true" applyProtection="false">
      <alignment horizontal="center" vertical="bottom" textRotation="0" wrapText="false" indent="0" shrinkToFit="false"/>
      <protection locked="true" hidden="false"/>
    </xf>
    <xf numFmtId="164" fontId="8" fillId="0" borderId="1" xfId="0" applyFont="true" applyBorder="true" applyAlignment="true" applyProtection="false">
      <alignment horizontal="left" vertical="center" textRotation="0" wrapText="true" indent="0" shrinkToFit="false"/>
      <protection locked="true" hidden="false"/>
    </xf>
    <xf numFmtId="164" fontId="9" fillId="5" borderId="1" xfId="0" applyFont="true" applyBorder="true" applyAlignment="true" applyProtection="false">
      <alignment horizontal="center" vertical="bottom" textRotation="0" wrapText="false" indent="0" shrinkToFit="false"/>
      <protection locked="true" hidden="false"/>
    </xf>
    <xf numFmtId="165" fontId="10" fillId="6" borderId="1" xfId="0" applyFont="true" applyBorder="true" applyAlignment="true" applyProtection="false">
      <alignment horizontal="center" vertical="bottom" textRotation="0" wrapText="false" indent="0" shrinkToFit="false"/>
      <protection locked="true" hidden="false"/>
    </xf>
    <xf numFmtId="164" fontId="11" fillId="7" borderId="1" xfId="0" applyFont="true" applyBorder="true" applyAlignment="true" applyProtection="false">
      <alignment horizontal="left" vertical="center" textRotation="0" wrapText="true" indent="1" shrinkToFit="false"/>
      <protection locked="true" hidden="false"/>
    </xf>
    <xf numFmtId="166" fontId="8" fillId="0" borderId="1" xfId="0" applyFont="true" applyBorder="true" applyAlignment="tru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5" fontId="8" fillId="0" borderId="1" xfId="0" applyFont="true" applyBorder="true" applyAlignment="true" applyProtection="false">
      <alignment horizontal="center" vertical="bottom" textRotation="0" wrapText="false" indent="0" shrinkToFit="false"/>
      <protection locked="true" hidden="false"/>
    </xf>
    <xf numFmtId="167" fontId="8" fillId="0" borderId="1" xfId="0" applyFont="true" applyBorder="true" applyAlignment="true" applyProtection="false">
      <alignment horizontal="center" vertical="bottom" textRotation="0" wrapText="false" indent="0" shrinkToFit="false"/>
      <protection locked="true" hidden="false"/>
    </xf>
    <xf numFmtId="167" fontId="10" fillId="6" borderId="1" xfId="0" applyFont="true" applyBorder="true" applyAlignment="true" applyProtection="false">
      <alignment horizontal="center" vertical="bottom" textRotation="0" wrapText="false" indent="0" shrinkToFit="false"/>
      <protection locked="true" hidden="false"/>
    </xf>
    <xf numFmtId="168" fontId="10" fillId="6" borderId="1" xfId="0" applyFont="true" applyBorder="true" applyAlignment="true" applyProtection="false">
      <alignment horizontal="center" vertical="bottom" textRotation="0" wrapText="false" indent="0" shrinkToFit="false"/>
      <protection locked="true" hidden="false"/>
    </xf>
    <xf numFmtId="164" fontId="11" fillId="7" borderId="2" xfId="0" applyFont="true" applyBorder="true" applyAlignment="true" applyProtection="false">
      <alignment horizontal="left" vertical="center" textRotation="0" wrapText="true" indent="1" shrinkToFit="false"/>
      <protection locked="true" hidden="false"/>
    </xf>
    <xf numFmtId="164" fontId="8" fillId="8" borderId="3" xfId="0" applyFont="true" applyBorder="true" applyAlignment="true" applyProtection="false">
      <alignment horizontal="left" vertical="top" textRotation="0" wrapText="true" indent="1" shrinkToFit="false"/>
      <protection locked="true" hidden="false"/>
    </xf>
    <xf numFmtId="164" fontId="7" fillId="4" borderId="0" xfId="0" applyFont="true" applyBorder="false" applyAlignment="true" applyProtection="false">
      <alignment horizontal="general" vertical="bottom" textRotation="0" wrapText="false" indent="0" shrinkToFit="false"/>
      <protection locked="true" hidden="false"/>
    </xf>
    <xf numFmtId="166" fontId="0" fillId="0" borderId="0" xfId="0" applyFont="fals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center" textRotation="0" wrapText="true" indent="0" shrinkToFit="false"/>
      <protection locked="true" hidden="false"/>
    </xf>
    <xf numFmtId="169" fontId="10" fillId="6" borderId="1" xfId="0" applyFont="true" applyBorder="true" applyAlignment="true" applyProtection="false">
      <alignment horizontal="center" vertical="bottom" textRotation="0" wrapText="false" indent="0" shrinkToFit="false"/>
      <protection locked="true" hidden="false"/>
    </xf>
    <xf numFmtId="166" fontId="8" fillId="0" borderId="1"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F2F2F2"/>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D6"/>
      <rgbColor rgb="FF2E75B6"/>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8"/>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F2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30"/>
    <col collapsed="false" customWidth="true" hidden="false" outlineLevel="0" max="3" min="3" style="1" width="60"/>
    <col collapsed="false" customWidth="true" hidden="false" outlineLevel="0" max="7" min="4" style="1" width="16"/>
  </cols>
  <sheetData>
    <row r="2" customFormat="false" ht="25.5" hidden="false" customHeight="true" outlineLevel="0" collapsed="false">
      <c r="B2" s="2" t="s">
        <v>0</v>
      </c>
      <c r="C2" s="2"/>
      <c r="D2" s="2"/>
      <c r="E2" s="2"/>
      <c r="F2" s="2"/>
    </row>
    <row r="4" customFormat="false" ht="15" hidden="false" customHeight="true" outlineLevel="0" collapsed="false">
      <c r="B4" s="3" t="s">
        <v>1</v>
      </c>
      <c r="C4" s="3"/>
      <c r="D4" s="3"/>
      <c r="E4" s="3"/>
      <c r="F4" s="3"/>
    </row>
    <row r="5" customFormat="false" ht="15" hidden="false" customHeight="true" outlineLevel="0" collapsed="false">
      <c r="B5" s="3"/>
      <c r="C5" s="3"/>
      <c r="D5" s="3"/>
      <c r="E5" s="3"/>
      <c r="F5" s="3"/>
    </row>
    <row r="7" customFormat="false" ht="15" hidden="false" customHeight="true" outlineLevel="0" collapsed="false">
      <c r="B7" s="3" t="s">
        <v>2</v>
      </c>
      <c r="C7" s="3"/>
      <c r="D7" s="3"/>
      <c r="E7" s="3"/>
      <c r="F7" s="3"/>
    </row>
    <row r="8" customFormat="false" ht="15" hidden="false" customHeight="true" outlineLevel="0" collapsed="false">
      <c r="B8" s="3"/>
      <c r="C8" s="3"/>
      <c r="D8" s="3"/>
      <c r="E8" s="3"/>
      <c r="F8" s="3"/>
    </row>
    <row r="10" customFormat="false" ht="18" hidden="false" customHeight="true" outlineLevel="0" collapsed="false">
      <c r="B10" s="4" t="s">
        <v>3</v>
      </c>
      <c r="C10" s="4"/>
      <c r="D10" s="4"/>
      <c r="E10" s="4"/>
      <c r="F10" s="4"/>
    </row>
    <row r="12" customFormat="false" ht="15" hidden="false" customHeight="true" outlineLevel="0" collapsed="false">
      <c r="B12" s="5" t="s">
        <v>4</v>
      </c>
      <c r="C12" s="5" t="s">
        <v>5</v>
      </c>
      <c r="D12" s="5" t="s">
        <v>6</v>
      </c>
      <c r="E12" s="5" t="s">
        <v>7</v>
      </c>
    </row>
    <row r="13" customFormat="false" ht="23.25" hidden="false" customHeight="true" outlineLevel="0" collapsed="false">
      <c r="B13" s="6" t="s">
        <v>8</v>
      </c>
      <c r="C13" s="6" t="s">
        <v>9</v>
      </c>
      <c r="D13" s="6" t="s">
        <v>10</v>
      </c>
      <c r="E13" s="6" t="s">
        <v>11</v>
      </c>
    </row>
    <row r="14" customFormat="false" ht="34.5" hidden="false" customHeight="true" outlineLevel="0" collapsed="false">
      <c r="B14" s="6" t="s">
        <v>12</v>
      </c>
      <c r="C14" s="6" t="s">
        <v>13</v>
      </c>
      <c r="D14" s="6" t="s">
        <v>14</v>
      </c>
      <c r="E14" s="6" t="s">
        <v>15</v>
      </c>
    </row>
    <row r="15" customFormat="false" ht="34.5" hidden="false" customHeight="true" outlineLevel="0" collapsed="false">
      <c r="B15" s="6" t="s">
        <v>16</v>
      </c>
      <c r="C15" s="6" t="s">
        <v>17</v>
      </c>
      <c r="D15" s="6" t="s">
        <v>18</v>
      </c>
      <c r="E15" s="6" t="s">
        <v>19</v>
      </c>
    </row>
    <row r="16" customFormat="false" ht="23.25" hidden="false" customHeight="true" outlineLevel="0" collapsed="false">
      <c r="B16" s="6" t="s">
        <v>20</v>
      </c>
      <c r="C16" s="6" t="s">
        <v>21</v>
      </c>
      <c r="D16" s="6" t="s">
        <v>22</v>
      </c>
      <c r="E16" s="6" t="s">
        <v>23</v>
      </c>
    </row>
    <row r="17" customFormat="false" ht="23.25" hidden="false" customHeight="true" outlineLevel="0" collapsed="false">
      <c r="B17" s="6" t="s">
        <v>24</v>
      </c>
      <c r="C17" s="6" t="s">
        <v>25</v>
      </c>
      <c r="D17" s="6" t="s">
        <v>26</v>
      </c>
      <c r="E17" s="6" t="s">
        <v>27</v>
      </c>
    </row>
    <row r="18" customFormat="false" ht="23.25" hidden="false" customHeight="true" outlineLevel="0" collapsed="false">
      <c r="B18" s="6" t="s">
        <v>28</v>
      </c>
      <c r="C18" s="6" t="s">
        <v>29</v>
      </c>
      <c r="D18" s="6" t="s">
        <v>30</v>
      </c>
      <c r="E18" s="6" t="s">
        <v>31</v>
      </c>
    </row>
    <row r="19" customFormat="false" ht="23.25" hidden="false" customHeight="true" outlineLevel="0" collapsed="false">
      <c r="B19" s="6" t="s">
        <v>32</v>
      </c>
      <c r="C19" s="6" t="s">
        <v>33</v>
      </c>
      <c r="D19" s="6" t="s">
        <v>34</v>
      </c>
      <c r="E19" s="6" t="s">
        <v>35</v>
      </c>
    </row>
    <row r="21" customFormat="false" ht="18" hidden="false" customHeight="true" outlineLevel="0" collapsed="false">
      <c r="B21" s="4" t="s">
        <v>36</v>
      </c>
      <c r="C21" s="4"/>
      <c r="D21" s="4"/>
      <c r="E21" s="4"/>
      <c r="F21" s="4"/>
    </row>
    <row r="23" customFormat="false" ht="15" hidden="false" customHeight="true" outlineLevel="0" collapsed="false">
      <c r="B23" s="7" t="s">
        <v>37</v>
      </c>
      <c r="C23" s="3" t="s">
        <v>38</v>
      </c>
      <c r="D23" s="3"/>
      <c r="E23" s="3"/>
      <c r="F23" s="3"/>
    </row>
    <row r="24" customFormat="false" ht="15" hidden="false" customHeight="true" outlineLevel="0" collapsed="false">
      <c r="B24" s="8" t="n">
        <f aca="false">1+1</f>
        <v>2</v>
      </c>
      <c r="C24" s="3" t="s">
        <v>39</v>
      </c>
      <c r="D24" s="3"/>
      <c r="E24" s="3"/>
      <c r="F24" s="3"/>
    </row>
    <row r="25" customFormat="false" ht="15" hidden="false" customHeight="true" outlineLevel="0" collapsed="false">
      <c r="B25" s="9" t="s">
        <v>40</v>
      </c>
      <c r="C25" s="3" t="s">
        <v>41</v>
      </c>
      <c r="D25" s="3"/>
      <c r="E25" s="3"/>
      <c r="F25" s="3"/>
    </row>
  </sheetData>
  <mergeCells count="8">
    <mergeCell ref="B2:F2"/>
    <mergeCell ref="B4:F5"/>
    <mergeCell ref="B7:F8"/>
    <mergeCell ref="B10:F10"/>
    <mergeCell ref="B21:F21"/>
    <mergeCell ref="C23:F23"/>
    <mergeCell ref="C24:F24"/>
    <mergeCell ref="C25:F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10"/>
    <col collapsed="false" customWidth="true" hidden="false" outlineLevel="0" max="3" min="3" style="1" width="13"/>
    <col collapsed="false" customWidth="true" hidden="false" outlineLevel="0" max="4" min="4" style="1" width="11"/>
    <col collapsed="false" customWidth="true" hidden="false" outlineLevel="0" max="5" min="5" style="1" width="9"/>
    <col collapsed="false" customWidth="true" hidden="false" outlineLevel="0" max="6" min="6" style="1" width="12"/>
    <col collapsed="false" customWidth="true" hidden="false" outlineLevel="0" max="7" min="7" style="1" width="11"/>
    <col collapsed="false" customWidth="true" hidden="false" outlineLevel="0" max="8" min="8" style="1" width="9"/>
    <col collapsed="false" customWidth="true" hidden="false" outlineLevel="0" max="9" min="9" style="1" width="26"/>
  </cols>
  <sheetData>
    <row r="1" customFormat="false" ht="30" hidden="false" customHeight="true" outlineLevel="0" collapsed="false">
      <c r="A1" s="3" t="s">
        <v>42</v>
      </c>
      <c r="B1" s="3"/>
      <c r="C1" s="3"/>
      <c r="D1" s="3"/>
      <c r="E1" s="3"/>
      <c r="F1" s="3"/>
      <c r="G1" s="3"/>
      <c r="H1" s="3"/>
      <c r="I1" s="3"/>
    </row>
    <row r="2" customFormat="false" ht="15" hidden="false" customHeight="true" outlineLevel="0" collapsed="false">
      <c r="A2" s="5" t="s">
        <v>43</v>
      </c>
      <c r="B2" s="5" t="s">
        <v>44</v>
      </c>
      <c r="C2" s="5" t="s">
        <v>45</v>
      </c>
      <c r="D2" s="5" t="s">
        <v>46</v>
      </c>
      <c r="E2" s="5" t="s">
        <v>47</v>
      </c>
      <c r="F2" s="5" t="s">
        <v>48</v>
      </c>
      <c r="G2" s="5" t="s">
        <v>49</v>
      </c>
      <c r="H2" s="5" t="s">
        <v>50</v>
      </c>
      <c r="I2" s="5" t="s">
        <v>51</v>
      </c>
    </row>
    <row r="3" customFormat="false" ht="15" hidden="false" customHeight="true" outlineLevel="0" collapsed="false">
      <c r="A3" s="10" t="n">
        <v>18</v>
      </c>
      <c r="B3" s="11" t="n">
        <v>8</v>
      </c>
      <c r="C3" s="10" t="n">
        <v>307</v>
      </c>
      <c r="D3" s="10" t="n">
        <v>130</v>
      </c>
      <c r="E3" s="10" t="n">
        <v>3504</v>
      </c>
      <c r="F3" s="10" t="n">
        <v>12</v>
      </c>
      <c r="G3" s="11" t="n">
        <v>70</v>
      </c>
      <c r="H3" s="11" t="s">
        <v>52</v>
      </c>
      <c r="I3" s="11" t="s">
        <v>53</v>
      </c>
    </row>
    <row r="4" customFormat="false" ht="15" hidden="false" customHeight="true" outlineLevel="0" collapsed="false">
      <c r="A4" s="10" t="n">
        <v>15</v>
      </c>
      <c r="B4" s="11" t="n">
        <v>8</v>
      </c>
      <c r="C4" s="10" t="n">
        <v>350</v>
      </c>
      <c r="D4" s="10" t="n">
        <v>165</v>
      </c>
      <c r="E4" s="10" t="n">
        <v>3693</v>
      </c>
      <c r="F4" s="10" t="n">
        <v>11.5</v>
      </c>
      <c r="G4" s="11" t="n">
        <v>70</v>
      </c>
      <c r="H4" s="11" t="s">
        <v>52</v>
      </c>
      <c r="I4" s="11" t="s">
        <v>54</v>
      </c>
    </row>
    <row r="5" customFormat="false" ht="15" hidden="false" customHeight="true" outlineLevel="0" collapsed="false">
      <c r="A5" s="10" t="n">
        <v>18</v>
      </c>
      <c r="B5" s="11" t="n">
        <v>8</v>
      </c>
      <c r="C5" s="10" t="n">
        <v>318</v>
      </c>
      <c r="D5" s="10" t="n">
        <v>150</v>
      </c>
      <c r="E5" s="10" t="n">
        <v>3436</v>
      </c>
      <c r="F5" s="10" t="n">
        <v>11</v>
      </c>
      <c r="G5" s="11" t="n">
        <v>70</v>
      </c>
      <c r="H5" s="11" t="s">
        <v>52</v>
      </c>
      <c r="I5" s="11" t="s">
        <v>55</v>
      </c>
    </row>
    <row r="6" customFormat="false" ht="15" hidden="false" customHeight="true" outlineLevel="0" collapsed="false">
      <c r="A6" s="10" t="n">
        <v>16</v>
      </c>
      <c r="B6" s="11" t="n">
        <v>8</v>
      </c>
      <c r="C6" s="10" t="n">
        <v>304</v>
      </c>
      <c r="D6" s="10" t="n">
        <v>150</v>
      </c>
      <c r="E6" s="10" t="n">
        <v>3433</v>
      </c>
      <c r="F6" s="10" t="n">
        <v>12</v>
      </c>
      <c r="G6" s="11" t="n">
        <v>70</v>
      </c>
      <c r="H6" s="11" t="s">
        <v>52</v>
      </c>
      <c r="I6" s="11" t="s">
        <v>56</v>
      </c>
    </row>
    <row r="7" customFormat="false" ht="15" hidden="false" customHeight="true" outlineLevel="0" collapsed="false">
      <c r="A7" s="10" t="n">
        <v>17</v>
      </c>
      <c r="B7" s="11" t="n">
        <v>8</v>
      </c>
      <c r="C7" s="10" t="n">
        <v>302</v>
      </c>
      <c r="D7" s="10" t="n">
        <v>140</v>
      </c>
      <c r="E7" s="10" t="n">
        <v>3449</v>
      </c>
      <c r="F7" s="10" t="n">
        <v>10.5</v>
      </c>
      <c r="G7" s="11" t="n">
        <v>70</v>
      </c>
      <c r="H7" s="11" t="s">
        <v>52</v>
      </c>
      <c r="I7" s="11" t="s">
        <v>57</v>
      </c>
    </row>
    <row r="8" customFormat="false" ht="15" hidden="false" customHeight="true" outlineLevel="0" collapsed="false">
      <c r="A8" s="10" t="n">
        <v>15</v>
      </c>
      <c r="B8" s="11" t="n">
        <v>8</v>
      </c>
      <c r="C8" s="10" t="n">
        <v>429</v>
      </c>
      <c r="D8" s="10" t="n">
        <v>198</v>
      </c>
      <c r="E8" s="10" t="n">
        <v>4341</v>
      </c>
      <c r="F8" s="10" t="n">
        <v>10</v>
      </c>
      <c r="G8" s="11" t="n">
        <v>70</v>
      </c>
      <c r="H8" s="11" t="s">
        <v>52</v>
      </c>
      <c r="I8" s="11" t="s">
        <v>58</v>
      </c>
    </row>
    <row r="9" customFormat="false" ht="15" hidden="false" customHeight="true" outlineLevel="0" collapsed="false">
      <c r="A9" s="10" t="n">
        <v>14</v>
      </c>
      <c r="B9" s="11" t="n">
        <v>8</v>
      </c>
      <c r="C9" s="10" t="n">
        <v>454</v>
      </c>
      <c r="D9" s="10" t="n">
        <v>220</v>
      </c>
      <c r="E9" s="10" t="n">
        <v>4354</v>
      </c>
      <c r="F9" s="10" t="n">
        <v>9</v>
      </c>
      <c r="G9" s="11" t="n">
        <v>70</v>
      </c>
      <c r="H9" s="11" t="s">
        <v>52</v>
      </c>
      <c r="I9" s="11" t="s">
        <v>59</v>
      </c>
    </row>
    <row r="10" customFormat="false" ht="15" hidden="false" customHeight="true" outlineLevel="0" collapsed="false">
      <c r="A10" s="10" t="n">
        <v>14</v>
      </c>
      <c r="B10" s="11" t="n">
        <v>8</v>
      </c>
      <c r="C10" s="10" t="n">
        <v>440</v>
      </c>
      <c r="D10" s="10" t="n">
        <v>215</v>
      </c>
      <c r="E10" s="10" t="n">
        <v>4312</v>
      </c>
      <c r="F10" s="10" t="n">
        <v>8.5</v>
      </c>
      <c r="G10" s="11" t="n">
        <v>70</v>
      </c>
      <c r="H10" s="11" t="s">
        <v>52</v>
      </c>
      <c r="I10" s="11" t="s">
        <v>60</v>
      </c>
    </row>
    <row r="11" customFormat="false" ht="15" hidden="false" customHeight="true" outlineLevel="0" collapsed="false">
      <c r="A11" s="10" t="n">
        <v>14</v>
      </c>
      <c r="B11" s="11" t="n">
        <v>8</v>
      </c>
      <c r="C11" s="10" t="n">
        <v>455</v>
      </c>
      <c r="D11" s="10" t="n">
        <v>225</v>
      </c>
      <c r="E11" s="10" t="n">
        <v>4425</v>
      </c>
      <c r="F11" s="10" t="n">
        <v>10</v>
      </c>
      <c r="G11" s="11" t="n">
        <v>70</v>
      </c>
      <c r="H11" s="11" t="s">
        <v>52</v>
      </c>
      <c r="I11" s="11" t="s">
        <v>61</v>
      </c>
    </row>
    <row r="12" customFormat="false" ht="15" hidden="false" customHeight="true" outlineLevel="0" collapsed="false">
      <c r="A12" s="10" t="n">
        <v>15</v>
      </c>
      <c r="B12" s="11" t="n">
        <v>8</v>
      </c>
      <c r="C12" s="10" t="n">
        <v>390</v>
      </c>
      <c r="D12" s="10" t="n">
        <v>190</v>
      </c>
      <c r="E12" s="10" t="n">
        <v>3850</v>
      </c>
      <c r="F12" s="10" t="n">
        <v>8.5</v>
      </c>
      <c r="G12" s="11" t="n">
        <v>70</v>
      </c>
      <c r="H12" s="11" t="s">
        <v>52</v>
      </c>
      <c r="I12" s="11" t="s">
        <v>62</v>
      </c>
    </row>
    <row r="13" customFormat="false" ht="15" hidden="false" customHeight="true" outlineLevel="0" collapsed="false">
      <c r="A13" s="10" t="n">
        <v>15</v>
      </c>
      <c r="B13" s="11" t="n">
        <v>8</v>
      </c>
      <c r="C13" s="10" t="n">
        <v>383</v>
      </c>
      <c r="D13" s="10" t="n">
        <v>170</v>
      </c>
      <c r="E13" s="10" t="n">
        <v>3563</v>
      </c>
      <c r="F13" s="10" t="n">
        <v>10</v>
      </c>
      <c r="G13" s="11" t="n">
        <v>70</v>
      </c>
      <c r="H13" s="11" t="s">
        <v>52</v>
      </c>
      <c r="I13" s="11" t="s">
        <v>63</v>
      </c>
    </row>
    <row r="14" customFormat="false" ht="15" hidden="false" customHeight="true" outlineLevel="0" collapsed="false">
      <c r="A14" s="10" t="n">
        <v>14</v>
      </c>
      <c r="B14" s="11" t="n">
        <v>8</v>
      </c>
      <c r="C14" s="10" t="n">
        <v>340</v>
      </c>
      <c r="D14" s="10" t="n">
        <v>160</v>
      </c>
      <c r="E14" s="10" t="n">
        <v>3609</v>
      </c>
      <c r="F14" s="10" t="n">
        <v>8</v>
      </c>
      <c r="G14" s="11" t="n">
        <v>70</v>
      </c>
      <c r="H14" s="11" t="s">
        <v>52</v>
      </c>
      <c r="I14" s="11" t="s">
        <v>64</v>
      </c>
    </row>
    <row r="15" customFormat="false" ht="15" hidden="false" customHeight="true" outlineLevel="0" collapsed="false">
      <c r="A15" s="10" t="n">
        <v>15</v>
      </c>
      <c r="B15" s="11" t="n">
        <v>8</v>
      </c>
      <c r="C15" s="10" t="n">
        <v>400</v>
      </c>
      <c r="D15" s="10" t="n">
        <v>150</v>
      </c>
      <c r="E15" s="10" t="n">
        <v>3761</v>
      </c>
      <c r="F15" s="10" t="n">
        <v>9.5</v>
      </c>
      <c r="G15" s="11" t="n">
        <v>70</v>
      </c>
      <c r="H15" s="11" t="s">
        <v>52</v>
      </c>
      <c r="I15" s="11" t="s">
        <v>65</v>
      </c>
    </row>
    <row r="16" customFormat="false" ht="15" hidden="false" customHeight="true" outlineLevel="0" collapsed="false">
      <c r="A16" s="10" t="n">
        <v>14</v>
      </c>
      <c r="B16" s="11" t="n">
        <v>8</v>
      </c>
      <c r="C16" s="10" t="n">
        <v>455</v>
      </c>
      <c r="D16" s="10" t="n">
        <v>225</v>
      </c>
      <c r="E16" s="10" t="n">
        <v>3086</v>
      </c>
      <c r="F16" s="10" t="n">
        <v>10</v>
      </c>
      <c r="G16" s="11" t="n">
        <v>70</v>
      </c>
      <c r="H16" s="11" t="s">
        <v>52</v>
      </c>
      <c r="I16" s="11" t="s">
        <v>66</v>
      </c>
    </row>
    <row r="17" customFormat="false" ht="15" hidden="false" customHeight="true" outlineLevel="0" collapsed="false">
      <c r="A17" s="10" t="n">
        <v>24</v>
      </c>
      <c r="B17" s="11" t="n">
        <v>4</v>
      </c>
      <c r="C17" s="10" t="n">
        <v>113</v>
      </c>
      <c r="D17" s="10" t="n">
        <v>95</v>
      </c>
      <c r="E17" s="10" t="n">
        <v>2372</v>
      </c>
      <c r="F17" s="10" t="n">
        <v>15</v>
      </c>
      <c r="G17" s="11" t="n">
        <v>70</v>
      </c>
      <c r="H17" s="11" t="s">
        <v>67</v>
      </c>
      <c r="I17" s="11" t="s">
        <v>68</v>
      </c>
    </row>
    <row r="18" customFormat="false" ht="15" hidden="false" customHeight="true" outlineLevel="0" collapsed="false">
      <c r="A18" s="10" t="n">
        <v>22</v>
      </c>
      <c r="B18" s="11" t="n">
        <v>6</v>
      </c>
      <c r="C18" s="10" t="n">
        <v>198</v>
      </c>
      <c r="D18" s="10" t="n">
        <v>95</v>
      </c>
      <c r="E18" s="10" t="n">
        <v>2833</v>
      </c>
      <c r="F18" s="10" t="n">
        <v>15.5</v>
      </c>
      <c r="G18" s="11" t="n">
        <v>70</v>
      </c>
      <c r="H18" s="11" t="s">
        <v>52</v>
      </c>
      <c r="I18" s="11" t="s">
        <v>69</v>
      </c>
    </row>
    <row r="19" customFormat="false" ht="15" hidden="false" customHeight="true" outlineLevel="0" collapsed="false">
      <c r="A19" s="10" t="n">
        <v>18</v>
      </c>
      <c r="B19" s="11" t="n">
        <v>6</v>
      </c>
      <c r="C19" s="10" t="n">
        <v>199</v>
      </c>
      <c r="D19" s="10" t="n">
        <v>97</v>
      </c>
      <c r="E19" s="10" t="n">
        <v>2774</v>
      </c>
      <c r="F19" s="10" t="n">
        <v>15.5</v>
      </c>
      <c r="G19" s="11" t="n">
        <v>70</v>
      </c>
      <c r="H19" s="11" t="s">
        <v>52</v>
      </c>
      <c r="I19" s="11" t="s">
        <v>70</v>
      </c>
    </row>
    <row r="20" customFormat="false" ht="15" hidden="false" customHeight="true" outlineLevel="0" collapsed="false">
      <c r="A20" s="10" t="n">
        <v>21</v>
      </c>
      <c r="B20" s="11" t="n">
        <v>6</v>
      </c>
      <c r="C20" s="10" t="n">
        <v>200</v>
      </c>
      <c r="D20" s="10" t="n">
        <v>85</v>
      </c>
      <c r="E20" s="10" t="n">
        <v>2587</v>
      </c>
      <c r="F20" s="10" t="n">
        <v>16</v>
      </c>
      <c r="G20" s="11" t="n">
        <v>70</v>
      </c>
      <c r="H20" s="11" t="s">
        <v>52</v>
      </c>
      <c r="I20" s="11" t="s">
        <v>71</v>
      </c>
    </row>
    <row r="21" customFormat="false" ht="15" hidden="false" customHeight="true" outlineLevel="0" collapsed="false">
      <c r="A21" s="10" t="n">
        <v>27</v>
      </c>
      <c r="B21" s="11" t="n">
        <v>4</v>
      </c>
      <c r="C21" s="10" t="n">
        <v>97</v>
      </c>
      <c r="D21" s="10" t="n">
        <v>88</v>
      </c>
      <c r="E21" s="10" t="n">
        <v>2130</v>
      </c>
      <c r="F21" s="10" t="n">
        <v>14.5</v>
      </c>
      <c r="G21" s="11" t="n">
        <v>70</v>
      </c>
      <c r="H21" s="11" t="s">
        <v>67</v>
      </c>
      <c r="I21" s="11" t="s">
        <v>72</v>
      </c>
    </row>
    <row r="22" customFormat="false" ht="15" hidden="false" customHeight="true" outlineLevel="0" collapsed="false">
      <c r="A22" s="10" t="n">
        <v>26</v>
      </c>
      <c r="B22" s="11" t="n">
        <v>4</v>
      </c>
      <c r="C22" s="10" t="n">
        <v>97</v>
      </c>
      <c r="D22" s="10" t="n">
        <v>46</v>
      </c>
      <c r="E22" s="10" t="n">
        <v>1835</v>
      </c>
      <c r="F22" s="10" t="n">
        <v>20.5</v>
      </c>
      <c r="G22" s="11" t="n">
        <v>70</v>
      </c>
      <c r="H22" s="11" t="s">
        <v>73</v>
      </c>
      <c r="I22" s="11" t="s">
        <v>74</v>
      </c>
    </row>
    <row r="23" customFormat="false" ht="15" hidden="false" customHeight="true" outlineLevel="0" collapsed="false">
      <c r="A23" s="10" t="n">
        <v>25</v>
      </c>
      <c r="B23" s="11" t="n">
        <v>4</v>
      </c>
      <c r="C23" s="10" t="n">
        <v>110</v>
      </c>
      <c r="D23" s="10" t="n">
        <v>87</v>
      </c>
      <c r="E23" s="10" t="n">
        <v>2672</v>
      </c>
      <c r="F23" s="10" t="n">
        <v>17.5</v>
      </c>
      <c r="G23" s="11" t="n">
        <v>70</v>
      </c>
      <c r="H23" s="11" t="s">
        <v>73</v>
      </c>
      <c r="I23" s="11" t="s">
        <v>75</v>
      </c>
    </row>
    <row r="24" customFormat="false" ht="15" hidden="false" customHeight="true" outlineLevel="0" collapsed="false">
      <c r="A24" s="10" t="n">
        <v>24</v>
      </c>
      <c r="B24" s="11" t="n">
        <v>4</v>
      </c>
      <c r="C24" s="10" t="n">
        <v>107</v>
      </c>
      <c r="D24" s="10" t="n">
        <v>90</v>
      </c>
      <c r="E24" s="10" t="n">
        <v>2430</v>
      </c>
      <c r="F24" s="10" t="n">
        <v>14.5</v>
      </c>
      <c r="G24" s="11" t="n">
        <v>70</v>
      </c>
      <c r="H24" s="11" t="s">
        <v>73</v>
      </c>
      <c r="I24" s="11" t="s">
        <v>76</v>
      </c>
    </row>
    <row r="25" customFormat="false" ht="15" hidden="false" customHeight="true" outlineLevel="0" collapsed="false">
      <c r="A25" s="10" t="n">
        <v>25</v>
      </c>
      <c r="B25" s="11" t="n">
        <v>4</v>
      </c>
      <c r="C25" s="10" t="n">
        <v>104</v>
      </c>
      <c r="D25" s="10" t="n">
        <v>95</v>
      </c>
      <c r="E25" s="10" t="n">
        <v>2375</v>
      </c>
      <c r="F25" s="10" t="n">
        <v>17.5</v>
      </c>
      <c r="G25" s="11" t="n">
        <v>70</v>
      </c>
      <c r="H25" s="11" t="s">
        <v>73</v>
      </c>
      <c r="I25" s="11" t="s">
        <v>77</v>
      </c>
    </row>
    <row r="26" customFormat="false" ht="15" hidden="false" customHeight="true" outlineLevel="0" collapsed="false">
      <c r="A26" s="10" t="n">
        <v>26</v>
      </c>
      <c r="B26" s="11" t="n">
        <v>4</v>
      </c>
      <c r="C26" s="10" t="n">
        <v>121</v>
      </c>
      <c r="D26" s="10" t="n">
        <v>113</v>
      </c>
      <c r="E26" s="10" t="n">
        <v>2234</v>
      </c>
      <c r="F26" s="10" t="n">
        <v>12.5</v>
      </c>
      <c r="G26" s="11" t="n">
        <v>70</v>
      </c>
      <c r="H26" s="11" t="s">
        <v>73</v>
      </c>
      <c r="I26" s="11" t="s">
        <v>78</v>
      </c>
    </row>
    <row r="27" customFormat="false" ht="15" hidden="false" customHeight="true" outlineLevel="0" collapsed="false">
      <c r="A27" s="10" t="n">
        <v>21</v>
      </c>
      <c r="B27" s="11" t="n">
        <v>6</v>
      </c>
      <c r="C27" s="10" t="n">
        <v>199</v>
      </c>
      <c r="D27" s="10" t="n">
        <v>90</v>
      </c>
      <c r="E27" s="10" t="n">
        <v>2648</v>
      </c>
      <c r="F27" s="10" t="n">
        <v>15</v>
      </c>
      <c r="G27" s="11" t="n">
        <v>70</v>
      </c>
      <c r="H27" s="11" t="s">
        <v>52</v>
      </c>
      <c r="I27" s="11" t="s">
        <v>79</v>
      </c>
    </row>
    <row r="28" customFormat="false" ht="15" hidden="false" customHeight="true" outlineLevel="0" collapsed="false">
      <c r="A28" s="10" t="n">
        <v>10</v>
      </c>
      <c r="B28" s="11" t="n">
        <v>8</v>
      </c>
      <c r="C28" s="10" t="n">
        <v>360</v>
      </c>
      <c r="D28" s="10" t="n">
        <v>215</v>
      </c>
      <c r="E28" s="10" t="n">
        <v>4615</v>
      </c>
      <c r="F28" s="10" t="n">
        <v>14</v>
      </c>
      <c r="G28" s="11" t="n">
        <v>70</v>
      </c>
      <c r="H28" s="11" t="s">
        <v>52</v>
      </c>
      <c r="I28" s="11" t="s">
        <v>80</v>
      </c>
    </row>
    <row r="29" customFormat="false" ht="15" hidden="false" customHeight="true" outlineLevel="0" collapsed="false">
      <c r="A29" s="10" t="n">
        <v>10</v>
      </c>
      <c r="B29" s="11" t="n">
        <v>8</v>
      </c>
      <c r="C29" s="10" t="n">
        <v>307</v>
      </c>
      <c r="D29" s="10" t="n">
        <v>200</v>
      </c>
      <c r="E29" s="10" t="n">
        <v>4376</v>
      </c>
      <c r="F29" s="10" t="n">
        <v>15</v>
      </c>
      <c r="G29" s="11" t="n">
        <v>70</v>
      </c>
      <c r="H29" s="11" t="s">
        <v>52</v>
      </c>
      <c r="I29" s="11" t="s">
        <v>81</v>
      </c>
    </row>
    <row r="30" customFormat="false" ht="15" hidden="false" customHeight="true" outlineLevel="0" collapsed="false">
      <c r="A30" s="10" t="n">
        <v>11</v>
      </c>
      <c r="B30" s="11" t="n">
        <v>8</v>
      </c>
      <c r="C30" s="10" t="n">
        <v>318</v>
      </c>
      <c r="D30" s="10" t="n">
        <v>210</v>
      </c>
      <c r="E30" s="10" t="n">
        <v>4382</v>
      </c>
      <c r="F30" s="10" t="n">
        <v>13.5</v>
      </c>
      <c r="G30" s="11" t="n">
        <v>70</v>
      </c>
      <c r="H30" s="11" t="s">
        <v>52</v>
      </c>
      <c r="I30" s="11" t="s">
        <v>82</v>
      </c>
    </row>
    <row r="31" customFormat="false" ht="15" hidden="false" customHeight="true" outlineLevel="0" collapsed="false">
      <c r="A31" s="10" t="n">
        <v>9</v>
      </c>
      <c r="B31" s="11" t="n">
        <v>8</v>
      </c>
      <c r="C31" s="10" t="n">
        <v>304</v>
      </c>
      <c r="D31" s="10" t="n">
        <v>193</v>
      </c>
      <c r="E31" s="10" t="n">
        <v>4732</v>
      </c>
      <c r="F31" s="10" t="n">
        <v>18.5</v>
      </c>
      <c r="G31" s="11" t="n">
        <v>70</v>
      </c>
      <c r="H31" s="11" t="s">
        <v>52</v>
      </c>
      <c r="I31" s="11" t="s">
        <v>83</v>
      </c>
    </row>
    <row r="32" customFormat="false" ht="15" hidden="false" customHeight="true" outlineLevel="0" collapsed="false">
      <c r="A32" s="10" t="n">
        <v>27</v>
      </c>
      <c r="B32" s="11" t="n">
        <v>4</v>
      </c>
      <c r="C32" s="10" t="n">
        <v>97</v>
      </c>
      <c r="D32" s="10" t="n">
        <v>88</v>
      </c>
      <c r="E32" s="10" t="n">
        <v>2130</v>
      </c>
      <c r="F32" s="10" t="n">
        <v>14.5</v>
      </c>
      <c r="G32" s="11" t="n">
        <v>71</v>
      </c>
      <c r="H32" s="11" t="s">
        <v>67</v>
      </c>
      <c r="I32" s="11" t="s">
        <v>72</v>
      </c>
    </row>
    <row r="33" customFormat="false" ht="15" hidden="false" customHeight="true" outlineLevel="0" collapsed="false">
      <c r="A33" s="10" t="n">
        <v>28</v>
      </c>
      <c r="B33" s="11" t="n">
        <v>4</v>
      </c>
      <c r="C33" s="10" t="n">
        <v>140</v>
      </c>
      <c r="D33" s="10" t="n">
        <v>90</v>
      </c>
      <c r="E33" s="10" t="n">
        <v>2264</v>
      </c>
      <c r="F33" s="10" t="n">
        <v>15.5</v>
      </c>
      <c r="G33" s="11" t="n">
        <v>71</v>
      </c>
      <c r="H33" s="11" t="s">
        <v>52</v>
      </c>
      <c r="I33" s="11" t="s">
        <v>84</v>
      </c>
    </row>
    <row r="34" customFormat="false" ht="15" hidden="false" customHeight="true" outlineLevel="0" collapsed="false">
      <c r="A34" s="10" t="n">
        <v>25</v>
      </c>
      <c r="B34" s="11" t="n">
        <v>4</v>
      </c>
      <c r="C34" s="10" t="n">
        <v>113</v>
      </c>
      <c r="D34" s="10" t="n">
        <v>95</v>
      </c>
      <c r="E34" s="10" t="n">
        <v>2228</v>
      </c>
      <c r="F34" s="10" t="n">
        <v>14</v>
      </c>
      <c r="G34" s="11" t="n">
        <v>71</v>
      </c>
      <c r="H34" s="11" t="s">
        <v>67</v>
      </c>
      <c r="I34" s="11" t="s">
        <v>85</v>
      </c>
    </row>
    <row r="35" customFormat="false" ht="15" hidden="false" customHeight="true" outlineLevel="0" collapsed="false">
      <c r="A35" s="10" t="n">
        <v>25</v>
      </c>
      <c r="B35" s="11" t="n">
        <v>4</v>
      </c>
      <c r="C35" s="10" t="n">
        <v>98</v>
      </c>
      <c r="D35" s="10" t="n">
        <v>104.469387755102</v>
      </c>
      <c r="E35" s="10" t="n">
        <v>2046</v>
      </c>
      <c r="F35" s="10" t="n">
        <v>19</v>
      </c>
      <c r="G35" s="11" t="n">
        <v>71</v>
      </c>
      <c r="H35" s="11" t="s">
        <v>52</v>
      </c>
      <c r="I35" s="11" t="s">
        <v>86</v>
      </c>
    </row>
    <row r="36" customFormat="false" ht="15" hidden="false" customHeight="true" outlineLevel="0" collapsed="false">
      <c r="A36" s="10" t="n">
        <v>19</v>
      </c>
      <c r="B36" s="11" t="n">
        <v>6</v>
      </c>
      <c r="C36" s="10" t="n">
        <v>232</v>
      </c>
      <c r="D36" s="10" t="n">
        <v>100</v>
      </c>
      <c r="E36" s="10" t="n">
        <v>2634</v>
      </c>
      <c r="F36" s="10" t="n">
        <v>13</v>
      </c>
      <c r="G36" s="11" t="n">
        <v>71</v>
      </c>
      <c r="H36" s="11" t="s">
        <v>52</v>
      </c>
      <c r="I36" s="11" t="s">
        <v>79</v>
      </c>
    </row>
    <row r="37" customFormat="false" ht="15" hidden="false" customHeight="true" outlineLevel="0" collapsed="false">
      <c r="A37" s="10" t="n">
        <v>16</v>
      </c>
      <c r="B37" s="11" t="n">
        <v>6</v>
      </c>
      <c r="C37" s="10" t="n">
        <v>225</v>
      </c>
      <c r="D37" s="10" t="n">
        <v>105</v>
      </c>
      <c r="E37" s="10" t="n">
        <v>3439</v>
      </c>
      <c r="F37" s="10" t="n">
        <v>15.5</v>
      </c>
      <c r="G37" s="11" t="n">
        <v>71</v>
      </c>
      <c r="H37" s="11" t="s">
        <v>52</v>
      </c>
      <c r="I37" s="11" t="s">
        <v>87</v>
      </c>
    </row>
    <row r="38" customFormat="false" ht="15" hidden="false" customHeight="true" outlineLevel="0" collapsed="false">
      <c r="A38" s="10" t="n">
        <v>17</v>
      </c>
      <c r="B38" s="11" t="n">
        <v>6</v>
      </c>
      <c r="C38" s="10" t="n">
        <v>250</v>
      </c>
      <c r="D38" s="10" t="n">
        <v>100</v>
      </c>
      <c r="E38" s="10" t="n">
        <v>3329</v>
      </c>
      <c r="F38" s="10" t="n">
        <v>15.5</v>
      </c>
      <c r="G38" s="11" t="n">
        <v>71</v>
      </c>
      <c r="H38" s="11" t="s">
        <v>52</v>
      </c>
      <c r="I38" s="11" t="s">
        <v>53</v>
      </c>
    </row>
    <row r="39" customFormat="false" ht="15" hidden="false" customHeight="true" outlineLevel="0" collapsed="false">
      <c r="A39" s="10" t="n">
        <v>19</v>
      </c>
      <c r="B39" s="11" t="n">
        <v>6</v>
      </c>
      <c r="C39" s="10" t="n">
        <v>250</v>
      </c>
      <c r="D39" s="10" t="n">
        <v>88</v>
      </c>
      <c r="E39" s="10" t="n">
        <v>3302</v>
      </c>
      <c r="F39" s="10" t="n">
        <v>15.5</v>
      </c>
      <c r="G39" s="11" t="n">
        <v>71</v>
      </c>
      <c r="H39" s="11" t="s">
        <v>52</v>
      </c>
      <c r="I39" s="11" t="s">
        <v>88</v>
      </c>
    </row>
    <row r="40" customFormat="false" ht="15" hidden="false" customHeight="true" outlineLevel="0" collapsed="false">
      <c r="A40" s="10" t="n">
        <v>18</v>
      </c>
      <c r="B40" s="11" t="n">
        <v>6</v>
      </c>
      <c r="C40" s="10" t="n">
        <v>232</v>
      </c>
      <c r="D40" s="10" t="n">
        <v>100</v>
      </c>
      <c r="E40" s="10" t="n">
        <v>3288</v>
      </c>
      <c r="F40" s="10" t="n">
        <v>15.5</v>
      </c>
      <c r="G40" s="11" t="n">
        <v>71</v>
      </c>
      <c r="H40" s="11" t="s">
        <v>52</v>
      </c>
      <c r="I40" s="11" t="s">
        <v>89</v>
      </c>
    </row>
    <row r="41" customFormat="false" ht="15" hidden="false" customHeight="true" outlineLevel="0" collapsed="false">
      <c r="A41" s="10" t="n">
        <v>14</v>
      </c>
      <c r="B41" s="11" t="n">
        <v>8</v>
      </c>
      <c r="C41" s="10" t="n">
        <v>350</v>
      </c>
      <c r="D41" s="10" t="n">
        <v>165</v>
      </c>
      <c r="E41" s="10" t="n">
        <v>4209</v>
      </c>
      <c r="F41" s="10" t="n">
        <v>12</v>
      </c>
      <c r="G41" s="11" t="n">
        <v>71</v>
      </c>
      <c r="H41" s="11" t="s">
        <v>52</v>
      </c>
      <c r="I41" s="11" t="s">
        <v>59</v>
      </c>
    </row>
    <row r="42" customFormat="false" ht="15" hidden="false" customHeight="true" outlineLevel="0" collapsed="false">
      <c r="A42" s="10" t="n">
        <v>14</v>
      </c>
      <c r="B42" s="11" t="n">
        <v>8</v>
      </c>
      <c r="C42" s="10" t="n">
        <v>400</v>
      </c>
      <c r="D42" s="10" t="n">
        <v>175</v>
      </c>
      <c r="E42" s="10" t="n">
        <v>4464</v>
      </c>
      <c r="F42" s="10" t="n">
        <v>11.5</v>
      </c>
      <c r="G42" s="11" t="n">
        <v>71</v>
      </c>
      <c r="H42" s="11" t="s">
        <v>52</v>
      </c>
      <c r="I42" s="11" t="s">
        <v>90</v>
      </c>
    </row>
    <row r="43" customFormat="false" ht="15" hidden="false" customHeight="true" outlineLevel="0" collapsed="false">
      <c r="A43" s="10" t="n">
        <v>14</v>
      </c>
      <c r="B43" s="11" t="n">
        <v>8</v>
      </c>
      <c r="C43" s="10" t="n">
        <v>351</v>
      </c>
      <c r="D43" s="10" t="n">
        <v>153</v>
      </c>
      <c r="E43" s="10" t="n">
        <v>4154</v>
      </c>
      <c r="F43" s="10" t="n">
        <v>13.5</v>
      </c>
      <c r="G43" s="11" t="n">
        <v>71</v>
      </c>
      <c r="H43" s="11" t="s">
        <v>52</v>
      </c>
      <c r="I43" s="11" t="s">
        <v>58</v>
      </c>
    </row>
    <row r="44" customFormat="false" ht="15" hidden="false" customHeight="true" outlineLevel="0" collapsed="false">
      <c r="A44" s="10" t="n">
        <v>14</v>
      </c>
      <c r="B44" s="11" t="n">
        <v>8</v>
      </c>
      <c r="C44" s="10" t="n">
        <v>318</v>
      </c>
      <c r="D44" s="10" t="n">
        <v>150</v>
      </c>
      <c r="E44" s="10" t="n">
        <v>4096</v>
      </c>
      <c r="F44" s="10" t="n">
        <v>13</v>
      </c>
      <c r="G44" s="11" t="n">
        <v>71</v>
      </c>
      <c r="H44" s="11" t="s">
        <v>52</v>
      </c>
      <c r="I44" s="11" t="s">
        <v>60</v>
      </c>
    </row>
    <row r="45" customFormat="false" ht="15" hidden="false" customHeight="true" outlineLevel="0" collapsed="false">
      <c r="A45" s="10" t="n">
        <v>12</v>
      </c>
      <c r="B45" s="11" t="n">
        <v>8</v>
      </c>
      <c r="C45" s="10" t="n">
        <v>383</v>
      </c>
      <c r="D45" s="10" t="n">
        <v>180</v>
      </c>
      <c r="E45" s="10" t="n">
        <v>4955</v>
      </c>
      <c r="F45" s="10" t="n">
        <v>11.5</v>
      </c>
      <c r="G45" s="11" t="n">
        <v>71</v>
      </c>
      <c r="H45" s="11" t="s">
        <v>52</v>
      </c>
      <c r="I45" s="11" t="s">
        <v>91</v>
      </c>
    </row>
    <row r="46" customFormat="false" ht="15" hidden="false" customHeight="true" outlineLevel="0" collapsed="false">
      <c r="A46" s="10" t="n">
        <v>13</v>
      </c>
      <c r="B46" s="11" t="n">
        <v>8</v>
      </c>
      <c r="C46" s="10" t="n">
        <v>400</v>
      </c>
      <c r="D46" s="10" t="n">
        <v>170</v>
      </c>
      <c r="E46" s="10" t="n">
        <v>4746</v>
      </c>
      <c r="F46" s="10" t="n">
        <v>12</v>
      </c>
      <c r="G46" s="11" t="n">
        <v>71</v>
      </c>
      <c r="H46" s="11" t="s">
        <v>52</v>
      </c>
      <c r="I46" s="11" t="s">
        <v>92</v>
      </c>
    </row>
    <row r="47" customFormat="false" ht="15" hidden="false" customHeight="true" outlineLevel="0" collapsed="false">
      <c r="A47" s="10" t="n">
        <v>13</v>
      </c>
      <c r="B47" s="11" t="n">
        <v>8</v>
      </c>
      <c r="C47" s="10" t="n">
        <v>400</v>
      </c>
      <c r="D47" s="10" t="n">
        <v>175</v>
      </c>
      <c r="E47" s="10" t="n">
        <v>5140</v>
      </c>
      <c r="F47" s="10" t="n">
        <v>12</v>
      </c>
      <c r="G47" s="11" t="n">
        <v>71</v>
      </c>
      <c r="H47" s="11" t="s">
        <v>52</v>
      </c>
      <c r="I47" s="11" t="s">
        <v>93</v>
      </c>
    </row>
    <row r="48" customFormat="false" ht="15" hidden="false" customHeight="true" outlineLevel="0" collapsed="false">
      <c r="A48" s="10" t="n">
        <v>18</v>
      </c>
      <c r="B48" s="11" t="n">
        <v>6</v>
      </c>
      <c r="C48" s="10" t="n">
        <v>258</v>
      </c>
      <c r="D48" s="10" t="n">
        <v>110</v>
      </c>
      <c r="E48" s="10" t="n">
        <v>2962</v>
      </c>
      <c r="F48" s="10" t="n">
        <v>13.5</v>
      </c>
      <c r="G48" s="11" t="n">
        <v>71</v>
      </c>
      <c r="H48" s="11" t="s">
        <v>52</v>
      </c>
      <c r="I48" s="11" t="s">
        <v>94</v>
      </c>
    </row>
    <row r="49" customFormat="false" ht="15" hidden="false" customHeight="true" outlineLevel="0" collapsed="false">
      <c r="A49" s="10" t="n">
        <v>22</v>
      </c>
      <c r="B49" s="11" t="n">
        <v>4</v>
      </c>
      <c r="C49" s="10" t="n">
        <v>140</v>
      </c>
      <c r="D49" s="10" t="n">
        <v>72</v>
      </c>
      <c r="E49" s="10" t="n">
        <v>2408</v>
      </c>
      <c r="F49" s="10" t="n">
        <v>19</v>
      </c>
      <c r="G49" s="11" t="n">
        <v>71</v>
      </c>
      <c r="H49" s="11" t="s">
        <v>52</v>
      </c>
      <c r="I49" s="11" t="s">
        <v>95</v>
      </c>
    </row>
    <row r="50" customFormat="false" ht="15" hidden="false" customHeight="true" outlineLevel="0" collapsed="false">
      <c r="A50" s="10" t="n">
        <v>19</v>
      </c>
      <c r="B50" s="11" t="n">
        <v>6</v>
      </c>
      <c r="C50" s="10" t="n">
        <v>250</v>
      </c>
      <c r="D50" s="10" t="n">
        <v>100</v>
      </c>
      <c r="E50" s="10" t="n">
        <v>3282</v>
      </c>
      <c r="F50" s="10" t="n">
        <v>15</v>
      </c>
      <c r="G50" s="11" t="n">
        <v>71</v>
      </c>
      <c r="H50" s="11" t="s">
        <v>52</v>
      </c>
      <c r="I50" s="11" t="s">
        <v>96</v>
      </c>
    </row>
    <row r="51" customFormat="false" ht="15" hidden="false" customHeight="true" outlineLevel="0" collapsed="false">
      <c r="A51" s="10" t="n">
        <v>18</v>
      </c>
      <c r="B51" s="11" t="n">
        <v>6</v>
      </c>
      <c r="C51" s="10" t="n">
        <v>250</v>
      </c>
      <c r="D51" s="10" t="n">
        <v>88</v>
      </c>
      <c r="E51" s="10" t="n">
        <v>3139</v>
      </c>
      <c r="F51" s="10" t="n">
        <v>14.5</v>
      </c>
      <c r="G51" s="11" t="n">
        <v>71</v>
      </c>
      <c r="H51" s="11" t="s">
        <v>52</v>
      </c>
      <c r="I51" s="11" t="s">
        <v>97</v>
      </c>
    </row>
    <row r="52" customFormat="false" ht="15" hidden="false" customHeight="true" outlineLevel="0" collapsed="false">
      <c r="A52" s="10" t="n">
        <v>23</v>
      </c>
      <c r="B52" s="11" t="n">
        <v>4</v>
      </c>
      <c r="C52" s="10" t="n">
        <v>122</v>
      </c>
      <c r="D52" s="10" t="n">
        <v>86</v>
      </c>
      <c r="E52" s="10" t="n">
        <v>2220</v>
      </c>
      <c r="F52" s="10" t="n">
        <v>14</v>
      </c>
      <c r="G52" s="11" t="n">
        <v>71</v>
      </c>
      <c r="H52" s="11" t="s">
        <v>52</v>
      </c>
      <c r="I52" s="11" t="s">
        <v>98</v>
      </c>
    </row>
    <row r="53" customFormat="false" ht="15" hidden="false" customHeight="true" outlineLevel="0" collapsed="false">
      <c r="A53" s="10" t="n">
        <v>28</v>
      </c>
      <c r="B53" s="11" t="n">
        <v>4</v>
      </c>
      <c r="C53" s="10" t="n">
        <v>116</v>
      </c>
      <c r="D53" s="10" t="n">
        <v>90</v>
      </c>
      <c r="E53" s="10" t="n">
        <v>2123</v>
      </c>
      <c r="F53" s="10" t="n">
        <v>14</v>
      </c>
      <c r="G53" s="11" t="n">
        <v>71</v>
      </c>
      <c r="H53" s="11" t="s">
        <v>73</v>
      </c>
      <c r="I53" s="11" t="s">
        <v>99</v>
      </c>
    </row>
    <row r="54" customFormat="false" ht="15" hidden="false" customHeight="true" outlineLevel="0" collapsed="false">
      <c r="A54" s="10" t="n">
        <v>30</v>
      </c>
      <c r="B54" s="11" t="n">
        <v>4</v>
      </c>
      <c r="C54" s="10" t="n">
        <v>79</v>
      </c>
      <c r="D54" s="10" t="n">
        <v>70</v>
      </c>
      <c r="E54" s="10" t="n">
        <v>2074</v>
      </c>
      <c r="F54" s="10" t="n">
        <v>19.5</v>
      </c>
      <c r="G54" s="11" t="n">
        <v>71</v>
      </c>
      <c r="H54" s="11" t="s">
        <v>73</v>
      </c>
      <c r="I54" s="11" t="s">
        <v>100</v>
      </c>
    </row>
    <row r="55" customFormat="false" ht="15" hidden="false" customHeight="true" outlineLevel="0" collapsed="false">
      <c r="A55" s="10" t="n">
        <v>30</v>
      </c>
      <c r="B55" s="11" t="n">
        <v>4</v>
      </c>
      <c r="C55" s="10" t="n">
        <v>88</v>
      </c>
      <c r="D55" s="10" t="n">
        <v>76</v>
      </c>
      <c r="E55" s="10" t="n">
        <v>2065</v>
      </c>
      <c r="F55" s="10" t="n">
        <v>14.5</v>
      </c>
      <c r="G55" s="11" t="n">
        <v>71</v>
      </c>
      <c r="H55" s="11" t="s">
        <v>73</v>
      </c>
      <c r="I55" s="11" t="s">
        <v>101</v>
      </c>
    </row>
    <row r="56" customFormat="false" ht="15" hidden="false" customHeight="true" outlineLevel="0" collapsed="false">
      <c r="A56" s="10" t="n">
        <v>31</v>
      </c>
      <c r="B56" s="11" t="n">
        <v>4</v>
      </c>
      <c r="C56" s="10" t="n">
        <v>71</v>
      </c>
      <c r="D56" s="10" t="n">
        <v>65</v>
      </c>
      <c r="E56" s="10" t="n">
        <v>1773</v>
      </c>
      <c r="F56" s="10" t="n">
        <v>19</v>
      </c>
      <c r="G56" s="11" t="n">
        <v>71</v>
      </c>
      <c r="H56" s="11" t="s">
        <v>67</v>
      </c>
      <c r="I56" s="11" t="s">
        <v>102</v>
      </c>
    </row>
    <row r="57" customFormat="false" ht="15" hidden="false" customHeight="true" outlineLevel="0" collapsed="false">
      <c r="A57" s="10" t="n">
        <v>35</v>
      </c>
      <c r="B57" s="11" t="n">
        <v>4</v>
      </c>
      <c r="C57" s="10" t="n">
        <v>72</v>
      </c>
      <c r="D57" s="10" t="n">
        <v>69</v>
      </c>
      <c r="E57" s="10" t="n">
        <v>1613</v>
      </c>
      <c r="F57" s="10" t="n">
        <v>18</v>
      </c>
      <c r="G57" s="11" t="n">
        <v>71</v>
      </c>
      <c r="H57" s="11" t="s">
        <v>67</v>
      </c>
      <c r="I57" s="11" t="s">
        <v>103</v>
      </c>
    </row>
    <row r="58" customFormat="false" ht="15" hidden="false" customHeight="true" outlineLevel="0" collapsed="false">
      <c r="A58" s="10" t="n">
        <v>27</v>
      </c>
      <c r="B58" s="11" t="n">
        <v>4</v>
      </c>
      <c r="C58" s="10" t="n">
        <v>97</v>
      </c>
      <c r="D58" s="10" t="n">
        <v>60</v>
      </c>
      <c r="E58" s="10" t="n">
        <v>1834</v>
      </c>
      <c r="F58" s="10" t="n">
        <v>19</v>
      </c>
      <c r="G58" s="11" t="n">
        <v>71</v>
      </c>
      <c r="H58" s="11" t="s">
        <v>73</v>
      </c>
      <c r="I58" s="11" t="s">
        <v>104</v>
      </c>
    </row>
    <row r="59" customFormat="false" ht="15" hidden="false" customHeight="true" outlineLevel="0" collapsed="false">
      <c r="A59" s="10" t="n">
        <v>26</v>
      </c>
      <c r="B59" s="11" t="n">
        <v>4</v>
      </c>
      <c r="C59" s="10" t="n">
        <v>91</v>
      </c>
      <c r="D59" s="10" t="n">
        <v>70</v>
      </c>
      <c r="E59" s="10" t="n">
        <v>1955</v>
      </c>
      <c r="F59" s="10" t="n">
        <v>20.5</v>
      </c>
      <c r="G59" s="11" t="n">
        <v>71</v>
      </c>
      <c r="H59" s="11" t="s">
        <v>52</v>
      </c>
      <c r="I59" s="11" t="s">
        <v>105</v>
      </c>
    </row>
    <row r="60" customFormat="false" ht="15" hidden="false" customHeight="true" outlineLevel="0" collapsed="false">
      <c r="A60" s="10" t="n">
        <v>24</v>
      </c>
      <c r="B60" s="11" t="n">
        <v>4</v>
      </c>
      <c r="C60" s="10" t="n">
        <v>113</v>
      </c>
      <c r="D60" s="10" t="n">
        <v>95</v>
      </c>
      <c r="E60" s="10" t="n">
        <v>2278</v>
      </c>
      <c r="F60" s="10" t="n">
        <v>15.5</v>
      </c>
      <c r="G60" s="11" t="n">
        <v>72</v>
      </c>
      <c r="H60" s="11" t="s">
        <v>67</v>
      </c>
      <c r="I60" s="11" t="s">
        <v>106</v>
      </c>
    </row>
    <row r="61" customFormat="false" ht="15" hidden="false" customHeight="true" outlineLevel="0" collapsed="false">
      <c r="A61" s="10" t="n">
        <v>25</v>
      </c>
      <c r="B61" s="11" t="n">
        <v>4</v>
      </c>
      <c r="C61" s="10" t="n">
        <v>97.5</v>
      </c>
      <c r="D61" s="10" t="n">
        <v>80</v>
      </c>
      <c r="E61" s="10" t="n">
        <v>2126</v>
      </c>
      <c r="F61" s="10" t="n">
        <v>17</v>
      </c>
      <c r="G61" s="11" t="n">
        <v>72</v>
      </c>
      <c r="H61" s="11" t="s">
        <v>52</v>
      </c>
      <c r="I61" s="11" t="s">
        <v>107</v>
      </c>
    </row>
    <row r="62" customFormat="false" ht="15" hidden="false" customHeight="true" outlineLevel="0" collapsed="false">
      <c r="A62" s="10" t="n">
        <v>23</v>
      </c>
      <c r="B62" s="11" t="n">
        <v>4</v>
      </c>
      <c r="C62" s="10" t="n">
        <v>97</v>
      </c>
      <c r="D62" s="10" t="n">
        <v>54</v>
      </c>
      <c r="E62" s="10" t="n">
        <v>2254</v>
      </c>
      <c r="F62" s="10" t="n">
        <v>23.5</v>
      </c>
      <c r="G62" s="11" t="n">
        <v>72</v>
      </c>
      <c r="H62" s="11" t="s">
        <v>73</v>
      </c>
      <c r="I62" s="11" t="s">
        <v>108</v>
      </c>
    </row>
    <row r="63" customFormat="false" ht="15" hidden="false" customHeight="true" outlineLevel="0" collapsed="false">
      <c r="A63" s="10" t="n">
        <v>20</v>
      </c>
      <c r="B63" s="11" t="n">
        <v>4</v>
      </c>
      <c r="C63" s="10" t="n">
        <v>140</v>
      </c>
      <c r="D63" s="10" t="n">
        <v>90</v>
      </c>
      <c r="E63" s="10" t="n">
        <v>2408</v>
      </c>
      <c r="F63" s="10" t="n">
        <v>19.5</v>
      </c>
      <c r="G63" s="11" t="n">
        <v>72</v>
      </c>
      <c r="H63" s="11" t="s">
        <v>52</v>
      </c>
      <c r="I63" s="11" t="s">
        <v>109</v>
      </c>
    </row>
    <row r="64" customFormat="false" ht="15" hidden="false" customHeight="true" outlineLevel="0" collapsed="false">
      <c r="A64" s="10" t="n">
        <v>21</v>
      </c>
      <c r="B64" s="11" t="n">
        <v>4</v>
      </c>
      <c r="C64" s="10" t="n">
        <v>122</v>
      </c>
      <c r="D64" s="10" t="n">
        <v>86</v>
      </c>
      <c r="E64" s="10" t="n">
        <v>2226</v>
      </c>
      <c r="F64" s="10" t="n">
        <v>16.5</v>
      </c>
      <c r="G64" s="11" t="n">
        <v>72</v>
      </c>
      <c r="H64" s="11" t="s">
        <v>52</v>
      </c>
      <c r="I64" s="11" t="s">
        <v>110</v>
      </c>
    </row>
    <row r="65" customFormat="false" ht="15" hidden="false" customHeight="true" outlineLevel="0" collapsed="false">
      <c r="A65" s="10" t="n">
        <v>13</v>
      </c>
      <c r="B65" s="11" t="n">
        <v>8</v>
      </c>
      <c r="C65" s="10" t="n">
        <v>350</v>
      </c>
      <c r="D65" s="10" t="n">
        <v>165</v>
      </c>
      <c r="E65" s="10" t="n">
        <v>4274</v>
      </c>
      <c r="F65" s="10" t="n">
        <v>12</v>
      </c>
      <c r="G65" s="11" t="n">
        <v>72</v>
      </c>
      <c r="H65" s="11" t="s">
        <v>52</v>
      </c>
      <c r="I65" s="11" t="s">
        <v>59</v>
      </c>
    </row>
    <row r="66" customFormat="false" ht="15" hidden="false" customHeight="true" outlineLevel="0" collapsed="false">
      <c r="A66" s="10" t="n">
        <v>14</v>
      </c>
      <c r="B66" s="11" t="n">
        <v>8</v>
      </c>
      <c r="C66" s="10" t="n">
        <v>400</v>
      </c>
      <c r="D66" s="10" t="n">
        <v>175</v>
      </c>
      <c r="E66" s="10" t="n">
        <v>4385</v>
      </c>
      <c r="F66" s="10" t="n">
        <v>12</v>
      </c>
      <c r="G66" s="11" t="n">
        <v>72</v>
      </c>
      <c r="H66" s="11" t="s">
        <v>52</v>
      </c>
      <c r="I66" s="11" t="s">
        <v>61</v>
      </c>
    </row>
    <row r="67" customFormat="false" ht="15" hidden="false" customHeight="true" outlineLevel="0" collapsed="false">
      <c r="A67" s="10" t="n">
        <v>15</v>
      </c>
      <c r="B67" s="11" t="n">
        <v>8</v>
      </c>
      <c r="C67" s="10" t="n">
        <v>318</v>
      </c>
      <c r="D67" s="10" t="n">
        <v>150</v>
      </c>
      <c r="E67" s="10" t="n">
        <v>4135</v>
      </c>
      <c r="F67" s="10" t="n">
        <v>13.5</v>
      </c>
      <c r="G67" s="11" t="n">
        <v>72</v>
      </c>
      <c r="H67" s="11" t="s">
        <v>52</v>
      </c>
      <c r="I67" s="11" t="s">
        <v>60</v>
      </c>
    </row>
    <row r="68" customFormat="false" ht="15" hidden="false" customHeight="true" outlineLevel="0" collapsed="false">
      <c r="A68" s="10" t="n">
        <v>14</v>
      </c>
      <c r="B68" s="11" t="n">
        <v>8</v>
      </c>
      <c r="C68" s="10" t="n">
        <v>351</v>
      </c>
      <c r="D68" s="10" t="n">
        <v>153</v>
      </c>
      <c r="E68" s="10" t="n">
        <v>4129</v>
      </c>
      <c r="F68" s="10" t="n">
        <v>13</v>
      </c>
      <c r="G68" s="11" t="n">
        <v>72</v>
      </c>
      <c r="H68" s="11" t="s">
        <v>52</v>
      </c>
      <c r="I68" s="11" t="s">
        <v>58</v>
      </c>
    </row>
    <row r="69" customFormat="false" ht="15" hidden="false" customHeight="true" outlineLevel="0" collapsed="false">
      <c r="A69" s="10" t="n">
        <v>17</v>
      </c>
      <c r="B69" s="11" t="n">
        <v>8</v>
      </c>
      <c r="C69" s="10" t="n">
        <v>304</v>
      </c>
      <c r="D69" s="10" t="n">
        <v>150</v>
      </c>
      <c r="E69" s="10" t="n">
        <v>3672</v>
      </c>
      <c r="F69" s="10" t="n">
        <v>11.5</v>
      </c>
      <c r="G69" s="11" t="n">
        <v>72</v>
      </c>
      <c r="H69" s="11" t="s">
        <v>52</v>
      </c>
      <c r="I69" s="11" t="s">
        <v>111</v>
      </c>
    </row>
    <row r="70" customFormat="false" ht="15" hidden="false" customHeight="true" outlineLevel="0" collapsed="false">
      <c r="A70" s="10" t="n">
        <v>11</v>
      </c>
      <c r="B70" s="11" t="n">
        <v>8</v>
      </c>
      <c r="C70" s="10" t="n">
        <v>429</v>
      </c>
      <c r="D70" s="10" t="n">
        <v>208</v>
      </c>
      <c r="E70" s="10" t="n">
        <v>4633</v>
      </c>
      <c r="F70" s="10" t="n">
        <v>11</v>
      </c>
      <c r="G70" s="11" t="n">
        <v>72</v>
      </c>
      <c r="H70" s="11" t="s">
        <v>52</v>
      </c>
      <c r="I70" s="11" t="s">
        <v>112</v>
      </c>
    </row>
    <row r="71" customFormat="false" ht="15" hidden="false" customHeight="true" outlineLevel="0" collapsed="false">
      <c r="A71" s="10" t="n">
        <v>13</v>
      </c>
      <c r="B71" s="11" t="n">
        <v>8</v>
      </c>
      <c r="C71" s="10" t="n">
        <v>350</v>
      </c>
      <c r="D71" s="10" t="n">
        <v>155</v>
      </c>
      <c r="E71" s="10" t="n">
        <v>4502</v>
      </c>
      <c r="F71" s="10" t="n">
        <v>13.5</v>
      </c>
      <c r="G71" s="11" t="n">
        <v>72</v>
      </c>
      <c r="H71" s="11" t="s">
        <v>52</v>
      </c>
      <c r="I71" s="11" t="s">
        <v>113</v>
      </c>
    </row>
    <row r="72" customFormat="false" ht="15" hidden="false" customHeight="true" outlineLevel="0" collapsed="false">
      <c r="A72" s="10" t="n">
        <v>12</v>
      </c>
      <c r="B72" s="11" t="n">
        <v>8</v>
      </c>
      <c r="C72" s="10" t="n">
        <v>350</v>
      </c>
      <c r="D72" s="10" t="n">
        <v>160</v>
      </c>
      <c r="E72" s="10" t="n">
        <v>4456</v>
      </c>
      <c r="F72" s="10" t="n">
        <v>13.5</v>
      </c>
      <c r="G72" s="11" t="n">
        <v>72</v>
      </c>
      <c r="H72" s="11" t="s">
        <v>52</v>
      </c>
      <c r="I72" s="11" t="s">
        <v>114</v>
      </c>
    </row>
    <row r="73" customFormat="false" ht="15" hidden="false" customHeight="true" outlineLevel="0" collapsed="false">
      <c r="A73" s="10" t="n">
        <v>13</v>
      </c>
      <c r="B73" s="11" t="n">
        <v>8</v>
      </c>
      <c r="C73" s="10" t="n">
        <v>400</v>
      </c>
      <c r="D73" s="10" t="n">
        <v>190</v>
      </c>
      <c r="E73" s="10" t="n">
        <v>4422</v>
      </c>
      <c r="F73" s="10" t="n">
        <v>12.5</v>
      </c>
      <c r="G73" s="11" t="n">
        <v>72</v>
      </c>
      <c r="H73" s="11" t="s">
        <v>52</v>
      </c>
      <c r="I73" s="11" t="s">
        <v>115</v>
      </c>
    </row>
    <row r="74" customFormat="false" ht="15" hidden="false" customHeight="true" outlineLevel="0" collapsed="false">
      <c r="A74" s="10" t="n">
        <v>19</v>
      </c>
      <c r="B74" s="11" t="n">
        <v>3</v>
      </c>
      <c r="C74" s="10" t="n">
        <v>70</v>
      </c>
      <c r="D74" s="10" t="n">
        <v>97</v>
      </c>
      <c r="E74" s="10" t="n">
        <v>2330</v>
      </c>
      <c r="F74" s="10" t="n">
        <v>13.5</v>
      </c>
      <c r="G74" s="11" t="n">
        <v>72</v>
      </c>
      <c r="H74" s="11" t="s">
        <v>67</v>
      </c>
      <c r="I74" s="11" t="s">
        <v>116</v>
      </c>
    </row>
    <row r="75" customFormat="false" ht="15" hidden="false" customHeight="true" outlineLevel="0" collapsed="false">
      <c r="A75" s="10" t="n">
        <v>15</v>
      </c>
      <c r="B75" s="11" t="n">
        <v>8</v>
      </c>
      <c r="C75" s="10" t="n">
        <v>304</v>
      </c>
      <c r="D75" s="10" t="n">
        <v>150</v>
      </c>
      <c r="E75" s="10" t="n">
        <v>3892</v>
      </c>
      <c r="F75" s="10" t="n">
        <v>12.5</v>
      </c>
      <c r="G75" s="11" t="n">
        <v>72</v>
      </c>
      <c r="H75" s="11" t="s">
        <v>52</v>
      </c>
      <c r="I75" s="11" t="s">
        <v>117</v>
      </c>
    </row>
    <row r="76" customFormat="false" ht="15" hidden="false" customHeight="true" outlineLevel="0" collapsed="false">
      <c r="A76" s="10" t="n">
        <v>13</v>
      </c>
      <c r="B76" s="11" t="n">
        <v>8</v>
      </c>
      <c r="C76" s="10" t="n">
        <v>307</v>
      </c>
      <c r="D76" s="10" t="n">
        <v>130</v>
      </c>
      <c r="E76" s="10" t="n">
        <v>4098</v>
      </c>
      <c r="F76" s="10" t="n">
        <v>14</v>
      </c>
      <c r="G76" s="11" t="n">
        <v>72</v>
      </c>
      <c r="H76" s="11" t="s">
        <v>52</v>
      </c>
      <c r="I76" s="11" t="s">
        <v>118</v>
      </c>
    </row>
    <row r="77" customFormat="false" ht="15" hidden="false" customHeight="true" outlineLevel="0" collapsed="false">
      <c r="A77" s="10" t="n">
        <v>13</v>
      </c>
      <c r="B77" s="11" t="n">
        <v>8</v>
      </c>
      <c r="C77" s="10" t="n">
        <v>302</v>
      </c>
      <c r="D77" s="10" t="n">
        <v>140</v>
      </c>
      <c r="E77" s="10" t="n">
        <v>4294</v>
      </c>
      <c r="F77" s="10" t="n">
        <v>16</v>
      </c>
      <c r="G77" s="11" t="n">
        <v>72</v>
      </c>
      <c r="H77" s="11" t="s">
        <v>52</v>
      </c>
      <c r="I77" s="11" t="s">
        <v>119</v>
      </c>
    </row>
    <row r="78" customFormat="false" ht="15" hidden="false" customHeight="true" outlineLevel="0" collapsed="false">
      <c r="A78" s="10" t="n">
        <v>14</v>
      </c>
      <c r="B78" s="11" t="n">
        <v>8</v>
      </c>
      <c r="C78" s="10" t="n">
        <v>318</v>
      </c>
      <c r="D78" s="10" t="n">
        <v>150</v>
      </c>
      <c r="E78" s="10" t="n">
        <v>4077</v>
      </c>
      <c r="F78" s="10" t="n">
        <v>14</v>
      </c>
      <c r="G78" s="11" t="n">
        <v>72</v>
      </c>
      <c r="H78" s="11" t="s">
        <v>52</v>
      </c>
      <c r="I78" s="11" t="s">
        <v>120</v>
      </c>
    </row>
    <row r="79" customFormat="false" ht="15" hidden="false" customHeight="true" outlineLevel="0" collapsed="false">
      <c r="A79" s="10" t="n">
        <v>18</v>
      </c>
      <c r="B79" s="11" t="n">
        <v>4</v>
      </c>
      <c r="C79" s="10" t="n">
        <v>121</v>
      </c>
      <c r="D79" s="10" t="n">
        <v>112</v>
      </c>
      <c r="E79" s="10" t="n">
        <v>2933</v>
      </c>
      <c r="F79" s="10" t="n">
        <v>14.5</v>
      </c>
      <c r="G79" s="11" t="n">
        <v>72</v>
      </c>
      <c r="H79" s="11" t="s">
        <v>73</v>
      </c>
      <c r="I79" s="11" t="s">
        <v>121</v>
      </c>
    </row>
    <row r="80" customFormat="false" ht="15" hidden="false" customHeight="true" outlineLevel="0" collapsed="false">
      <c r="A80" s="10" t="n">
        <v>22</v>
      </c>
      <c r="B80" s="11" t="n">
        <v>4</v>
      </c>
      <c r="C80" s="10" t="n">
        <v>121</v>
      </c>
      <c r="D80" s="10" t="n">
        <v>76</v>
      </c>
      <c r="E80" s="10" t="n">
        <v>2511</v>
      </c>
      <c r="F80" s="10" t="n">
        <v>18</v>
      </c>
      <c r="G80" s="11" t="n">
        <v>72</v>
      </c>
      <c r="H80" s="11" t="s">
        <v>73</v>
      </c>
      <c r="I80" s="11" t="s">
        <v>122</v>
      </c>
    </row>
    <row r="81" customFormat="false" ht="15" hidden="false" customHeight="true" outlineLevel="0" collapsed="false">
      <c r="A81" s="10" t="n">
        <v>21</v>
      </c>
      <c r="B81" s="11" t="n">
        <v>4</v>
      </c>
      <c r="C81" s="10" t="n">
        <v>120</v>
      </c>
      <c r="D81" s="10" t="n">
        <v>87</v>
      </c>
      <c r="E81" s="10" t="n">
        <v>2979</v>
      </c>
      <c r="F81" s="10" t="n">
        <v>19.5</v>
      </c>
      <c r="G81" s="11" t="n">
        <v>72</v>
      </c>
      <c r="H81" s="11" t="s">
        <v>73</v>
      </c>
      <c r="I81" s="11" t="s">
        <v>123</v>
      </c>
    </row>
    <row r="82" customFormat="false" ht="15" hidden="false" customHeight="true" outlineLevel="0" collapsed="false">
      <c r="A82" s="10" t="n">
        <v>26</v>
      </c>
      <c r="B82" s="11" t="n">
        <v>4</v>
      </c>
      <c r="C82" s="10" t="n">
        <v>96</v>
      </c>
      <c r="D82" s="10" t="n">
        <v>69</v>
      </c>
      <c r="E82" s="10" t="n">
        <v>2189</v>
      </c>
      <c r="F82" s="10" t="n">
        <v>18</v>
      </c>
      <c r="G82" s="11" t="n">
        <v>72</v>
      </c>
      <c r="H82" s="11" t="s">
        <v>73</v>
      </c>
      <c r="I82" s="11" t="s">
        <v>124</v>
      </c>
    </row>
    <row r="83" customFormat="false" ht="15" hidden="false" customHeight="true" outlineLevel="0" collapsed="false">
      <c r="A83" s="10" t="n">
        <v>22</v>
      </c>
      <c r="B83" s="11" t="n">
        <v>4</v>
      </c>
      <c r="C83" s="10" t="n">
        <v>122</v>
      </c>
      <c r="D83" s="10" t="n">
        <v>86</v>
      </c>
      <c r="E83" s="10" t="n">
        <v>2395</v>
      </c>
      <c r="F83" s="10" t="n">
        <v>16</v>
      </c>
      <c r="G83" s="11" t="n">
        <v>72</v>
      </c>
      <c r="H83" s="11" t="s">
        <v>52</v>
      </c>
      <c r="I83" s="11" t="s">
        <v>125</v>
      </c>
    </row>
    <row r="84" customFormat="false" ht="15" hidden="false" customHeight="true" outlineLevel="0" collapsed="false">
      <c r="A84" s="10" t="n">
        <v>28</v>
      </c>
      <c r="B84" s="11" t="n">
        <v>4</v>
      </c>
      <c r="C84" s="10" t="n">
        <v>97</v>
      </c>
      <c r="D84" s="10" t="n">
        <v>92</v>
      </c>
      <c r="E84" s="10" t="n">
        <v>2288</v>
      </c>
      <c r="F84" s="10" t="n">
        <v>17</v>
      </c>
      <c r="G84" s="11" t="n">
        <v>72</v>
      </c>
      <c r="H84" s="11" t="s">
        <v>67</v>
      </c>
      <c r="I84" s="11" t="s">
        <v>126</v>
      </c>
    </row>
    <row r="85" customFormat="false" ht="15" hidden="false" customHeight="true" outlineLevel="0" collapsed="false">
      <c r="A85" s="10" t="n">
        <v>23</v>
      </c>
      <c r="B85" s="11" t="n">
        <v>4</v>
      </c>
      <c r="C85" s="10" t="n">
        <v>120</v>
      </c>
      <c r="D85" s="10" t="n">
        <v>97</v>
      </c>
      <c r="E85" s="10" t="n">
        <v>2506</v>
      </c>
      <c r="F85" s="10" t="n">
        <v>14.5</v>
      </c>
      <c r="G85" s="11" t="n">
        <v>72</v>
      </c>
      <c r="H85" s="11" t="s">
        <v>67</v>
      </c>
      <c r="I85" s="11" t="s">
        <v>127</v>
      </c>
    </row>
    <row r="86" customFormat="false" ht="15" hidden="false" customHeight="true" outlineLevel="0" collapsed="false">
      <c r="A86" s="10" t="n">
        <v>28</v>
      </c>
      <c r="B86" s="11" t="n">
        <v>4</v>
      </c>
      <c r="C86" s="10" t="n">
        <v>98</v>
      </c>
      <c r="D86" s="10" t="n">
        <v>80</v>
      </c>
      <c r="E86" s="10" t="n">
        <v>2164</v>
      </c>
      <c r="F86" s="10" t="n">
        <v>15</v>
      </c>
      <c r="G86" s="11" t="n">
        <v>72</v>
      </c>
      <c r="H86" s="11" t="s">
        <v>52</v>
      </c>
      <c r="I86" s="11" t="s">
        <v>128</v>
      </c>
    </row>
    <row r="87" customFormat="false" ht="15" hidden="false" customHeight="true" outlineLevel="0" collapsed="false">
      <c r="A87" s="10" t="n">
        <v>27</v>
      </c>
      <c r="B87" s="11" t="n">
        <v>4</v>
      </c>
      <c r="C87" s="10" t="n">
        <v>97</v>
      </c>
      <c r="D87" s="10" t="n">
        <v>88</v>
      </c>
      <c r="E87" s="10" t="n">
        <v>2100</v>
      </c>
      <c r="F87" s="10" t="n">
        <v>16.5</v>
      </c>
      <c r="G87" s="11" t="n">
        <v>72</v>
      </c>
      <c r="H87" s="11" t="s">
        <v>67</v>
      </c>
      <c r="I87" s="11" t="s">
        <v>129</v>
      </c>
    </row>
    <row r="88" customFormat="false" ht="15" hidden="false" customHeight="true" outlineLevel="0" collapsed="false">
      <c r="A88" s="10" t="n">
        <v>13</v>
      </c>
      <c r="B88" s="11" t="n">
        <v>8</v>
      </c>
      <c r="C88" s="10" t="n">
        <v>350</v>
      </c>
      <c r="D88" s="10" t="n">
        <v>175</v>
      </c>
      <c r="E88" s="10" t="n">
        <v>4100</v>
      </c>
      <c r="F88" s="10" t="n">
        <v>13</v>
      </c>
      <c r="G88" s="11" t="n">
        <v>73</v>
      </c>
      <c r="H88" s="11" t="s">
        <v>52</v>
      </c>
      <c r="I88" s="11" t="s">
        <v>130</v>
      </c>
    </row>
    <row r="89" customFormat="false" ht="15" hidden="false" customHeight="true" outlineLevel="0" collapsed="false">
      <c r="A89" s="10" t="n">
        <v>14</v>
      </c>
      <c r="B89" s="11" t="n">
        <v>8</v>
      </c>
      <c r="C89" s="10" t="n">
        <v>304</v>
      </c>
      <c r="D89" s="10" t="n">
        <v>150</v>
      </c>
      <c r="E89" s="10" t="n">
        <v>3672</v>
      </c>
      <c r="F89" s="10" t="n">
        <v>11.5</v>
      </c>
      <c r="G89" s="11" t="n">
        <v>73</v>
      </c>
      <c r="H89" s="11" t="s">
        <v>52</v>
      </c>
      <c r="I89" s="11" t="s">
        <v>89</v>
      </c>
    </row>
    <row r="90" customFormat="false" ht="15" hidden="false" customHeight="true" outlineLevel="0" collapsed="false">
      <c r="A90" s="10" t="n">
        <v>13</v>
      </c>
      <c r="B90" s="11" t="n">
        <v>8</v>
      </c>
      <c r="C90" s="10" t="n">
        <v>350</v>
      </c>
      <c r="D90" s="10" t="n">
        <v>145</v>
      </c>
      <c r="E90" s="10" t="n">
        <v>3988</v>
      </c>
      <c r="F90" s="10" t="n">
        <v>13</v>
      </c>
      <c r="G90" s="11" t="n">
        <v>73</v>
      </c>
      <c r="H90" s="11" t="s">
        <v>52</v>
      </c>
      <c r="I90" s="11" t="s">
        <v>131</v>
      </c>
    </row>
    <row r="91" customFormat="false" ht="15" hidden="false" customHeight="true" outlineLevel="0" collapsed="false">
      <c r="A91" s="10" t="n">
        <v>14</v>
      </c>
      <c r="B91" s="11" t="n">
        <v>8</v>
      </c>
      <c r="C91" s="10" t="n">
        <v>302</v>
      </c>
      <c r="D91" s="10" t="n">
        <v>137</v>
      </c>
      <c r="E91" s="10" t="n">
        <v>4042</v>
      </c>
      <c r="F91" s="10" t="n">
        <v>14.5</v>
      </c>
      <c r="G91" s="11" t="n">
        <v>73</v>
      </c>
      <c r="H91" s="11" t="s">
        <v>52</v>
      </c>
      <c r="I91" s="11" t="s">
        <v>132</v>
      </c>
    </row>
    <row r="92" customFormat="false" ht="15" hidden="false" customHeight="true" outlineLevel="0" collapsed="false">
      <c r="A92" s="10" t="n">
        <v>15</v>
      </c>
      <c r="B92" s="11" t="n">
        <v>8</v>
      </c>
      <c r="C92" s="10" t="n">
        <v>318</v>
      </c>
      <c r="D92" s="10" t="n">
        <v>150</v>
      </c>
      <c r="E92" s="10" t="n">
        <v>3777</v>
      </c>
      <c r="F92" s="10" t="n">
        <v>12.5</v>
      </c>
      <c r="G92" s="11" t="n">
        <v>73</v>
      </c>
      <c r="H92" s="11" t="s">
        <v>52</v>
      </c>
      <c r="I92" s="11" t="s">
        <v>133</v>
      </c>
    </row>
    <row r="93" customFormat="false" ht="15" hidden="false" customHeight="true" outlineLevel="0" collapsed="false">
      <c r="A93" s="10" t="n">
        <v>12</v>
      </c>
      <c r="B93" s="11" t="n">
        <v>8</v>
      </c>
      <c r="C93" s="10" t="n">
        <v>429</v>
      </c>
      <c r="D93" s="10" t="n">
        <v>198</v>
      </c>
      <c r="E93" s="10" t="n">
        <v>4952</v>
      </c>
      <c r="F93" s="10" t="n">
        <v>11.5</v>
      </c>
      <c r="G93" s="11" t="n">
        <v>73</v>
      </c>
      <c r="H93" s="11" t="s">
        <v>52</v>
      </c>
      <c r="I93" s="11" t="s">
        <v>134</v>
      </c>
    </row>
    <row r="94" customFormat="false" ht="15" hidden="false" customHeight="true" outlineLevel="0" collapsed="false">
      <c r="A94" s="10" t="n">
        <v>13</v>
      </c>
      <c r="B94" s="11" t="n">
        <v>8</v>
      </c>
      <c r="C94" s="10" t="n">
        <v>400</v>
      </c>
      <c r="D94" s="10" t="n">
        <v>150</v>
      </c>
      <c r="E94" s="10" t="n">
        <v>4464</v>
      </c>
      <c r="F94" s="10" t="n">
        <v>12</v>
      </c>
      <c r="G94" s="11" t="n">
        <v>73</v>
      </c>
      <c r="H94" s="11" t="s">
        <v>52</v>
      </c>
      <c r="I94" s="11" t="s">
        <v>135</v>
      </c>
    </row>
    <row r="95" customFormat="false" ht="15" hidden="false" customHeight="true" outlineLevel="0" collapsed="false">
      <c r="A95" s="10" t="n">
        <v>13</v>
      </c>
      <c r="B95" s="11" t="n">
        <v>8</v>
      </c>
      <c r="C95" s="10" t="n">
        <v>351</v>
      </c>
      <c r="D95" s="10" t="n">
        <v>158</v>
      </c>
      <c r="E95" s="10" t="n">
        <v>4363</v>
      </c>
      <c r="F95" s="10" t="n">
        <v>13</v>
      </c>
      <c r="G95" s="11" t="n">
        <v>73</v>
      </c>
      <c r="H95" s="11" t="s">
        <v>52</v>
      </c>
      <c r="I95" s="11" t="s">
        <v>136</v>
      </c>
    </row>
    <row r="96" customFormat="false" ht="15" hidden="false" customHeight="true" outlineLevel="0" collapsed="false">
      <c r="A96" s="10" t="n">
        <v>14</v>
      </c>
      <c r="B96" s="11" t="n">
        <v>8</v>
      </c>
      <c r="C96" s="10" t="n">
        <v>318</v>
      </c>
      <c r="D96" s="10" t="n">
        <v>150</v>
      </c>
      <c r="E96" s="10" t="n">
        <v>4237</v>
      </c>
      <c r="F96" s="10" t="n">
        <v>14.5</v>
      </c>
      <c r="G96" s="11" t="n">
        <v>73</v>
      </c>
      <c r="H96" s="11" t="s">
        <v>52</v>
      </c>
      <c r="I96" s="11" t="s">
        <v>137</v>
      </c>
    </row>
    <row r="97" customFormat="false" ht="15" hidden="false" customHeight="true" outlineLevel="0" collapsed="false">
      <c r="A97" s="10" t="n">
        <v>13</v>
      </c>
      <c r="B97" s="11" t="n">
        <v>8</v>
      </c>
      <c r="C97" s="10" t="n">
        <v>440</v>
      </c>
      <c r="D97" s="10" t="n">
        <v>215</v>
      </c>
      <c r="E97" s="10" t="n">
        <v>4735</v>
      </c>
      <c r="F97" s="10" t="n">
        <v>11</v>
      </c>
      <c r="G97" s="11" t="n">
        <v>73</v>
      </c>
      <c r="H97" s="11" t="s">
        <v>52</v>
      </c>
      <c r="I97" s="11" t="s">
        <v>138</v>
      </c>
    </row>
    <row r="98" customFormat="false" ht="15" hidden="false" customHeight="true" outlineLevel="0" collapsed="false">
      <c r="A98" s="10" t="n">
        <v>12</v>
      </c>
      <c r="B98" s="11" t="n">
        <v>8</v>
      </c>
      <c r="C98" s="10" t="n">
        <v>455</v>
      </c>
      <c r="D98" s="10" t="n">
        <v>225</v>
      </c>
      <c r="E98" s="10" t="n">
        <v>4951</v>
      </c>
      <c r="F98" s="10" t="n">
        <v>11</v>
      </c>
      <c r="G98" s="11" t="n">
        <v>73</v>
      </c>
      <c r="H98" s="11" t="s">
        <v>52</v>
      </c>
      <c r="I98" s="11" t="s">
        <v>139</v>
      </c>
    </row>
    <row r="99" customFormat="false" ht="15" hidden="false" customHeight="true" outlineLevel="0" collapsed="false">
      <c r="A99" s="10" t="n">
        <v>13</v>
      </c>
      <c r="B99" s="11" t="n">
        <v>8</v>
      </c>
      <c r="C99" s="10" t="n">
        <v>360</v>
      </c>
      <c r="D99" s="10" t="n">
        <v>175</v>
      </c>
      <c r="E99" s="10" t="n">
        <v>3821</v>
      </c>
      <c r="F99" s="10" t="n">
        <v>11</v>
      </c>
      <c r="G99" s="11" t="n">
        <v>73</v>
      </c>
      <c r="H99" s="11" t="s">
        <v>52</v>
      </c>
      <c r="I99" s="11" t="s">
        <v>140</v>
      </c>
    </row>
    <row r="100" customFormat="false" ht="15" hidden="false" customHeight="true" outlineLevel="0" collapsed="false">
      <c r="A100" s="10" t="n">
        <v>18</v>
      </c>
      <c r="B100" s="11" t="n">
        <v>6</v>
      </c>
      <c r="C100" s="10" t="n">
        <v>225</v>
      </c>
      <c r="D100" s="10" t="n">
        <v>105</v>
      </c>
      <c r="E100" s="10" t="n">
        <v>3121</v>
      </c>
      <c r="F100" s="10" t="n">
        <v>16.5</v>
      </c>
      <c r="G100" s="11" t="n">
        <v>73</v>
      </c>
      <c r="H100" s="11" t="s">
        <v>52</v>
      </c>
      <c r="I100" s="11" t="s">
        <v>141</v>
      </c>
    </row>
    <row r="101" customFormat="false" ht="15" hidden="false" customHeight="true" outlineLevel="0" collapsed="false">
      <c r="A101" s="10" t="n">
        <v>16</v>
      </c>
      <c r="B101" s="11" t="n">
        <v>6</v>
      </c>
      <c r="C101" s="10" t="n">
        <v>250</v>
      </c>
      <c r="D101" s="10" t="n">
        <v>100</v>
      </c>
      <c r="E101" s="10" t="n">
        <v>3278</v>
      </c>
      <c r="F101" s="10" t="n">
        <v>18</v>
      </c>
      <c r="G101" s="11" t="n">
        <v>73</v>
      </c>
      <c r="H101" s="11" t="s">
        <v>52</v>
      </c>
      <c r="I101" s="11" t="s">
        <v>142</v>
      </c>
    </row>
    <row r="102" customFormat="false" ht="15" hidden="false" customHeight="true" outlineLevel="0" collapsed="false">
      <c r="A102" s="10" t="n">
        <v>18</v>
      </c>
      <c r="B102" s="11" t="n">
        <v>6</v>
      </c>
      <c r="C102" s="10" t="n">
        <v>232</v>
      </c>
      <c r="D102" s="10" t="n">
        <v>100</v>
      </c>
      <c r="E102" s="10" t="n">
        <v>2945</v>
      </c>
      <c r="F102" s="10" t="n">
        <v>16</v>
      </c>
      <c r="G102" s="11" t="n">
        <v>73</v>
      </c>
      <c r="H102" s="11" t="s">
        <v>52</v>
      </c>
      <c r="I102" s="11" t="s">
        <v>70</v>
      </c>
    </row>
    <row r="103" customFormat="false" ht="15" hidden="false" customHeight="true" outlineLevel="0" collapsed="false">
      <c r="A103" s="10" t="n">
        <v>18</v>
      </c>
      <c r="B103" s="11" t="n">
        <v>6</v>
      </c>
      <c r="C103" s="10" t="n">
        <v>250</v>
      </c>
      <c r="D103" s="10" t="n">
        <v>88</v>
      </c>
      <c r="E103" s="10" t="n">
        <v>3021</v>
      </c>
      <c r="F103" s="10" t="n">
        <v>16.5</v>
      </c>
      <c r="G103" s="11" t="n">
        <v>73</v>
      </c>
      <c r="H103" s="11" t="s">
        <v>52</v>
      </c>
      <c r="I103" s="11" t="s">
        <v>71</v>
      </c>
    </row>
    <row r="104" customFormat="false" ht="15" hidden="false" customHeight="true" outlineLevel="0" collapsed="false">
      <c r="A104" s="10" t="n">
        <v>23</v>
      </c>
      <c r="B104" s="11" t="n">
        <v>6</v>
      </c>
      <c r="C104" s="10" t="n">
        <v>198</v>
      </c>
      <c r="D104" s="10" t="n">
        <v>95</v>
      </c>
      <c r="E104" s="10" t="n">
        <v>2904</v>
      </c>
      <c r="F104" s="10" t="n">
        <v>16</v>
      </c>
      <c r="G104" s="11" t="n">
        <v>73</v>
      </c>
      <c r="H104" s="11" t="s">
        <v>52</v>
      </c>
      <c r="I104" s="11" t="s">
        <v>69</v>
      </c>
    </row>
    <row r="105" customFormat="false" ht="15" hidden="false" customHeight="true" outlineLevel="0" collapsed="false">
      <c r="A105" s="10" t="n">
        <v>26</v>
      </c>
      <c r="B105" s="11" t="n">
        <v>4</v>
      </c>
      <c r="C105" s="10" t="n">
        <v>97</v>
      </c>
      <c r="D105" s="10" t="n">
        <v>46</v>
      </c>
      <c r="E105" s="10" t="n">
        <v>1950</v>
      </c>
      <c r="F105" s="10" t="n">
        <v>21</v>
      </c>
      <c r="G105" s="11" t="n">
        <v>73</v>
      </c>
      <c r="H105" s="11" t="s">
        <v>73</v>
      </c>
      <c r="I105" s="11" t="s">
        <v>143</v>
      </c>
    </row>
    <row r="106" customFormat="false" ht="15" hidden="false" customHeight="true" outlineLevel="0" collapsed="false">
      <c r="A106" s="10" t="n">
        <v>11</v>
      </c>
      <c r="B106" s="11" t="n">
        <v>8</v>
      </c>
      <c r="C106" s="10" t="n">
        <v>400</v>
      </c>
      <c r="D106" s="10" t="n">
        <v>150</v>
      </c>
      <c r="E106" s="10" t="n">
        <v>4997</v>
      </c>
      <c r="F106" s="10" t="n">
        <v>14</v>
      </c>
      <c r="G106" s="11" t="n">
        <v>73</v>
      </c>
      <c r="H106" s="11" t="s">
        <v>52</v>
      </c>
      <c r="I106" s="11" t="s">
        <v>59</v>
      </c>
    </row>
    <row r="107" customFormat="false" ht="15" hidden="false" customHeight="true" outlineLevel="0" collapsed="false">
      <c r="A107" s="10" t="n">
        <v>12</v>
      </c>
      <c r="B107" s="11" t="n">
        <v>8</v>
      </c>
      <c r="C107" s="10" t="n">
        <v>400</v>
      </c>
      <c r="D107" s="10" t="n">
        <v>167</v>
      </c>
      <c r="E107" s="10" t="n">
        <v>4906</v>
      </c>
      <c r="F107" s="10" t="n">
        <v>12.5</v>
      </c>
      <c r="G107" s="11" t="n">
        <v>73</v>
      </c>
      <c r="H107" s="11" t="s">
        <v>52</v>
      </c>
      <c r="I107" s="11" t="s">
        <v>144</v>
      </c>
    </row>
    <row r="108" customFormat="false" ht="15" hidden="false" customHeight="true" outlineLevel="0" collapsed="false">
      <c r="A108" s="10" t="n">
        <v>13</v>
      </c>
      <c r="B108" s="11" t="n">
        <v>8</v>
      </c>
      <c r="C108" s="10" t="n">
        <v>360</v>
      </c>
      <c r="D108" s="10" t="n">
        <v>170</v>
      </c>
      <c r="E108" s="10" t="n">
        <v>4654</v>
      </c>
      <c r="F108" s="10" t="n">
        <v>13</v>
      </c>
      <c r="G108" s="11" t="n">
        <v>73</v>
      </c>
      <c r="H108" s="11" t="s">
        <v>52</v>
      </c>
      <c r="I108" s="11" t="s">
        <v>145</v>
      </c>
    </row>
    <row r="109" customFormat="false" ht="15" hidden="false" customHeight="true" outlineLevel="0" collapsed="false">
      <c r="A109" s="10" t="n">
        <v>12</v>
      </c>
      <c r="B109" s="11" t="n">
        <v>8</v>
      </c>
      <c r="C109" s="10" t="n">
        <v>350</v>
      </c>
      <c r="D109" s="10" t="n">
        <v>180</v>
      </c>
      <c r="E109" s="10" t="n">
        <v>4499</v>
      </c>
      <c r="F109" s="10" t="n">
        <v>12.5</v>
      </c>
      <c r="G109" s="11" t="n">
        <v>73</v>
      </c>
      <c r="H109" s="11" t="s">
        <v>52</v>
      </c>
      <c r="I109" s="11" t="s">
        <v>146</v>
      </c>
    </row>
    <row r="110" customFormat="false" ht="15" hidden="false" customHeight="true" outlineLevel="0" collapsed="false">
      <c r="A110" s="10" t="n">
        <v>18</v>
      </c>
      <c r="B110" s="11" t="n">
        <v>6</v>
      </c>
      <c r="C110" s="10" t="n">
        <v>232</v>
      </c>
      <c r="D110" s="10" t="n">
        <v>100</v>
      </c>
      <c r="E110" s="10" t="n">
        <v>2789</v>
      </c>
      <c r="F110" s="10" t="n">
        <v>15</v>
      </c>
      <c r="G110" s="11" t="n">
        <v>73</v>
      </c>
      <c r="H110" s="11" t="s">
        <v>52</v>
      </c>
      <c r="I110" s="11" t="s">
        <v>79</v>
      </c>
    </row>
    <row r="111" customFormat="false" ht="15" hidden="false" customHeight="true" outlineLevel="0" collapsed="false">
      <c r="A111" s="10" t="n">
        <v>20</v>
      </c>
      <c r="B111" s="11" t="n">
        <v>4</v>
      </c>
      <c r="C111" s="10" t="n">
        <v>97</v>
      </c>
      <c r="D111" s="10" t="n">
        <v>88</v>
      </c>
      <c r="E111" s="10" t="n">
        <v>2279</v>
      </c>
      <c r="F111" s="10" t="n">
        <v>19</v>
      </c>
      <c r="G111" s="11" t="n">
        <v>73</v>
      </c>
      <c r="H111" s="11" t="s">
        <v>67</v>
      </c>
      <c r="I111" s="11" t="s">
        <v>147</v>
      </c>
    </row>
    <row r="112" customFormat="false" ht="15" hidden="false" customHeight="true" outlineLevel="0" collapsed="false">
      <c r="A112" s="10" t="n">
        <v>21</v>
      </c>
      <c r="B112" s="11" t="n">
        <v>4</v>
      </c>
      <c r="C112" s="10" t="n">
        <v>140</v>
      </c>
      <c r="D112" s="10" t="n">
        <v>72</v>
      </c>
      <c r="E112" s="10" t="n">
        <v>2401</v>
      </c>
      <c r="F112" s="10" t="n">
        <v>19.5</v>
      </c>
      <c r="G112" s="11" t="n">
        <v>73</v>
      </c>
      <c r="H112" s="11" t="s">
        <v>52</v>
      </c>
      <c r="I112" s="11" t="s">
        <v>109</v>
      </c>
    </row>
    <row r="113" customFormat="false" ht="15" hidden="false" customHeight="true" outlineLevel="0" collapsed="false">
      <c r="A113" s="10" t="n">
        <v>22</v>
      </c>
      <c r="B113" s="11" t="n">
        <v>4</v>
      </c>
      <c r="C113" s="10" t="n">
        <v>108</v>
      </c>
      <c r="D113" s="10" t="n">
        <v>94</v>
      </c>
      <c r="E113" s="10" t="n">
        <v>2379</v>
      </c>
      <c r="F113" s="10" t="n">
        <v>16.5</v>
      </c>
      <c r="G113" s="11" t="n">
        <v>73</v>
      </c>
      <c r="H113" s="11" t="s">
        <v>67</v>
      </c>
      <c r="I113" s="11" t="s">
        <v>148</v>
      </c>
    </row>
    <row r="114" customFormat="false" ht="15" hidden="false" customHeight="true" outlineLevel="0" collapsed="false">
      <c r="A114" s="10" t="n">
        <v>18</v>
      </c>
      <c r="B114" s="11" t="n">
        <v>3</v>
      </c>
      <c r="C114" s="10" t="n">
        <v>70</v>
      </c>
      <c r="D114" s="10" t="n">
        <v>90</v>
      </c>
      <c r="E114" s="10" t="n">
        <v>2124</v>
      </c>
      <c r="F114" s="10" t="n">
        <v>13.5</v>
      </c>
      <c r="G114" s="11" t="n">
        <v>73</v>
      </c>
      <c r="H114" s="11" t="s">
        <v>67</v>
      </c>
      <c r="I114" s="11" t="s">
        <v>149</v>
      </c>
    </row>
    <row r="115" customFormat="false" ht="15" hidden="false" customHeight="true" outlineLevel="0" collapsed="false">
      <c r="A115" s="10" t="n">
        <v>19</v>
      </c>
      <c r="B115" s="11" t="n">
        <v>4</v>
      </c>
      <c r="C115" s="10" t="n">
        <v>122</v>
      </c>
      <c r="D115" s="10" t="n">
        <v>85</v>
      </c>
      <c r="E115" s="10" t="n">
        <v>2310</v>
      </c>
      <c r="F115" s="10" t="n">
        <v>18.5</v>
      </c>
      <c r="G115" s="11" t="n">
        <v>73</v>
      </c>
      <c r="H115" s="11" t="s">
        <v>52</v>
      </c>
      <c r="I115" s="11" t="s">
        <v>86</v>
      </c>
    </row>
    <row r="116" customFormat="false" ht="15" hidden="false" customHeight="true" outlineLevel="0" collapsed="false">
      <c r="A116" s="10" t="n">
        <v>21</v>
      </c>
      <c r="B116" s="11" t="n">
        <v>6</v>
      </c>
      <c r="C116" s="10" t="n">
        <v>155</v>
      </c>
      <c r="D116" s="10" t="n">
        <v>107</v>
      </c>
      <c r="E116" s="10" t="n">
        <v>2472</v>
      </c>
      <c r="F116" s="10" t="n">
        <v>14</v>
      </c>
      <c r="G116" s="11" t="n">
        <v>73</v>
      </c>
      <c r="H116" s="11" t="s">
        <v>52</v>
      </c>
      <c r="I116" s="11" t="s">
        <v>150</v>
      </c>
    </row>
    <row r="117" customFormat="false" ht="15" hidden="false" customHeight="true" outlineLevel="0" collapsed="false">
      <c r="A117" s="10" t="n">
        <v>26</v>
      </c>
      <c r="B117" s="11" t="n">
        <v>4</v>
      </c>
      <c r="C117" s="10" t="n">
        <v>98</v>
      </c>
      <c r="D117" s="10" t="n">
        <v>90</v>
      </c>
      <c r="E117" s="10" t="n">
        <v>2265</v>
      </c>
      <c r="F117" s="10" t="n">
        <v>15.5</v>
      </c>
      <c r="G117" s="11" t="n">
        <v>73</v>
      </c>
      <c r="H117" s="11" t="s">
        <v>73</v>
      </c>
      <c r="I117" s="11" t="s">
        <v>151</v>
      </c>
    </row>
    <row r="118" customFormat="false" ht="15" hidden="false" customHeight="true" outlineLevel="0" collapsed="false">
      <c r="A118" s="10" t="n">
        <v>15</v>
      </c>
      <c r="B118" s="11" t="n">
        <v>8</v>
      </c>
      <c r="C118" s="10" t="n">
        <v>350</v>
      </c>
      <c r="D118" s="10" t="n">
        <v>145</v>
      </c>
      <c r="E118" s="10" t="n">
        <v>4082</v>
      </c>
      <c r="F118" s="10" t="n">
        <v>13</v>
      </c>
      <c r="G118" s="11" t="n">
        <v>73</v>
      </c>
      <c r="H118" s="11" t="s">
        <v>52</v>
      </c>
      <c r="I118" s="11" t="s">
        <v>152</v>
      </c>
    </row>
    <row r="119" customFormat="false" ht="15" hidden="false" customHeight="true" outlineLevel="0" collapsed="false">
      <c r="A119" s="10" t="n">
        <v>16</v>
      </c>
      <c r="B119" s="11" t="n">
        <v>8</v>
      </c>
      <c r="C119" s="10" t="n">
        <v>400</v>
      </c>
      <c r="D119" s="10" t="n">
        <v>230</v>
      </c>
      <c r="E119" s="10" t="n">
        <v>4278</v>
      </c>
      <c r="F119" s="10" t="n">
        <v>9.5</v>
      </c>
      <c r="G119" s="11" t="n">
        <v>73</v>
      </c>
      <c r="H119" s="11" t="s">
        <v>52</v>
      </c>
      <c r="I119" s="11" t="s">
        <v>153</v>
      </c>
    </row>
    <row r="120" customFormat="false" ht="15" hidden="false" customHeight="true" outlineLevel="0" collapsed="false">
      <c r="A120" s="10" t="n">
        <v>29</v>
      </c>
      <c r="B120" s="11" t="n">
        <v>4</v>
      </c>
      <c r="C120" s="10" t="n">
        <v>68</v>
      </c>
      <c r="D120" s="10" t="n">
        <v>49</v>
      </c>
      <c r="E120" s="10" t="n">
        <v>1867</v>
      </c>
      <c r="F120" s="10" t="n">
        <v>19.5</v>
      </c>
      <c r="G120" s="11" t="n">
        <v>73</v>
      </c>
      <c r="H120" s="11" t="s">
        <v>73</v>
      </c>
      <c r="I120" s="11" t="s">
        <v>154</v>
      </c>
    </row>
    <row r="121" customFormat="false" ht="15" hidden="false" customHeight="true" outlineLevel="0" collapsed="false">
      <c r="A121" s="10" t="n">
        <v>24</v>
      </c>
      <c r="B121" s="11" t="n">
        <v>4</v>
      </c>
      <c r="C121" s="10" t="n">
        <v>116</v>
      </c>
      <c r="D121" s="10" t="n">
        <v>75</v>
      </c>
      <c r="E121" s="10" t="n">
        <v>2158</v>
      </c>
      <c r="F121" s="10" t="n">
        <v>15.5</v>
      </c>
      <c r="G121" s="11" t="n">
        <v>73</v>
      </c>
      <c r="H121" s="11" t="s">
        <v>73</v>
      </c>
      <c r="I121" s="11" t="s">
        <v>155</v>
      </c>
    </row>
    <row r="122" customFormat="false" ht="15" hidden="false" customHeight="true" outlineLevel="0" collapsed="false">
      <c r="A122" s="10" t="n">
        <v>20</v>
      </c>
      <c r="B122" s="11" t="n">
        <v>4</v>
      </c>
      <c r="C122" s="10" t="n">
        <v>114</v>
      </c>
      <c r="D122" s="10" t="n">
        <v>91</v>
      </c>
      <c r="E122" s="10" t="n">
        <v>2582</v>
      </c>
      <c r="F122" s="10" t="n">
        <v>14</v>
      </c>
      <c r="G122" s="11" t="n">
        <v>73</v>
      </c>
      <c r="H122" s="11" t="s">
        <v>73</v>
      </c>
      <c r="I122" s="11" t="s">
        <v>156</v>
      </c>
    </row>
    <row r="123" customFormat="false" ht="15" hidden="false" customHeight="true" outlineLevel="0" collapsed="false">
      <c r="A123" s="10" t="n">
        <v>19</v>
      </c>
      <c r="B123" s="11" t="n">
        <v>4</v>
      </c>
      <c r="C123" s="10" t="n">
        <v>121</v>
      </c>
      <c r="D123" s="10" t="n">
        <v>112</v>
      </c>
      <c r="E123" s="10" t="n">
        <v>2868</v>
      </c>
      <c r="F123" s="10" t="n">
        <v>15.5</v>
      </c>
      <c r="G123" s="11" t="n">
        <v>73</v>
      </c>
      <c r="H123" s="11" t="s">
        <v>73</v>
      </c>
      <c r="I123" s="11" t="s">
        <v>157</v>
      </c>
    </row>
    <row r="124" customFormat="false" ht="15" hidden="false" customHeight="true" outlineLevel="0" collapsed="false">
      <c r="A124" s="10" t="n">
        <v>15</v>
      </c>
      <c r="B124" s="11" t="n">
        <v>8</v>
      </c>
      <c r="C124" s="10" t="n">
        <v>318</v>
      </c>
      <c r="D124" s="10" t="n">
        <v>150</v>
      </c>
      <c r="E124" s="10" t="n">
        <v>3399</v>
      </c>
      <c r="F124" s="10" t="n">
        <v>11</v>
      </c>
      <c r="G124" s="11" t="n">
        <v>73</v>
      </c>
      <c r="H124" s="11" t="s">
        <v>52</v>
      </c>
      <c r="I124" s="11" t="s">
        <v>158</v>
      </c>
    </row>
    <row r="125" customFormat="false" ht="15" hidden="false" customHeight="true" outlineLevel="0" collapsed="false">
      <c r="A125" s="10" t="n">
        <v>24</v>
      </c>
      <c r="B125" s="11" t="n">
        <v>4</v>
      </c>
      <c r="C125" s="10" t="n">
        <v>121</v>
      </c>
      <c r="D125" s="10" t="n">
        <v>110</v>
      </c>
      <c r="E125" s="10" t="n">
        <v>2660</v>
      </c>
      <c r="F125" s="10" t="n">
        <v>14</v>
      </c>
      <c r="G125" s="11" t="n">
        <v>73</v>
      </c>
      <c r="H125" s="11" t="s">
        <v>73</v>
      </c>
      <c r="I125" s="11" t="s">
        <v>159</v>
      </c>
    </row>
    <row r="126" customFormat="false" ht="15" hidden="false" customHeight="true" outlineLevel="0" collapsed="false">
      <c r="A126" s="10" t="n">
        <v>20</v>
      </c>
      <c r="B126" s="11" t="n">
        <v>6</v>
      </c>
      <c r="C126" s="10" t="n">
        <v>156</v>
      </c>
      <c r="D126" s="10" t="n">
        <v>122</v>
      </c>
      <c r="E126" s="10" t="n">
        <v>2807</v>
      </c>
      <c r="F126" s="10" t="n">
        <v>13.5</v>
      </c>
      <c r="G126" s="11" t="n">
        <v>73</v>
      </c>
      <c r="H126" s="11" t="s">
        <v>67</v>
      </c>
      <c r="I126" s="11" t="s">
        <v>160</v>
      </c>
    </row>
    <row r="127" customFormat="false" ht="15" hidden="false" customHeight="true" outlineLevel="0" collapsed="false">
      <c r="A127" s="10" t="n">
        <v>11</v>
      </c>
      <c r="B127" s="11" t="n">
        <v>8</v>
      </c>
      <c r="C127" s="10" t="n">
        <v>350</v>
      </c>
      <c r="D127" s="10" t="n">
        <v>180</v>
      </c>
      <c r="E127" s="10" t="n">
        <v>3664</v>
      </c>
      <c r="F127" s="10" t="n">
        <v>11</v>
      </c>
      <c r="G127" s="11" t="n">
        <v>73</v>
      </c>
      <c r="H127" s="11" t="s">
        <v>52</v>
      </c>
      <c r="I127" s="11" t="s">
        <v>161</v>
      </c>
    </row>
    <row r="128" customFormat="false" ht="15" hidden="false" customHeight="true" outlineLevel="0" collapsed="false">
      <c r="A128" s="10" t="n">
        <v>20</v>
      </c>
      <c r="B128" s="11" t="n">
        <v>6</v>
      </c>
      <c r="C128" s="10" t="n">
        <v>198</v>
      </c>
      <c r="D128" s="10" t="n">
        <v>95</v>
      </c>
      <c r="E128" s="10" t="n">
        <v>3102</v>
      </c>
      <c r="F128" s="10" t="n">
        <v>16.5</v>
      </c>
      <c r="G128" s="11" t="n">
        <v>74</v>
      </c>
      <c r="H128" s="11" t="s">
        <v>52</v>
      </c>
      <c r="I128" s="11" t="s">
        <v>69</v>
      </c>
    </row>
    <row r="129" customFormat="false" ht="15" hidden="false" customHeight="true" outlineLevel="0" collapsed="false">
      <c r="A129" s="10" t="n">
        <v>21</v>
      </c>
      <c r="B129" s="11" t="n">
        <v>6</v>
      </c>
      <c r="C129" s="10" t="n">
        <v>200</v>
      </c>
      <c r="D129" s="10" t="n">
        <v>104.469387755102</v>
      </c>
      <c r="E129" s="10" t="n">
        <v>2875</v>
      </c>
      <c r="F129" s="10" t="n">
        <v>17</v>
      </c>
      <c r="G129" s="11" t="n">
        <v>74</v>
      </c>
      <c r="H129" s="11" t="s">
        <v>52</v>
      </c>
      <c r="I129" s="11" t="s">
        <v>71</v>
      </c>
    </row>
    <row r="130" customFormat="false" ht="15" hidden="false" customHeight="true" outlineLevel="0" collapsed="false">
      <c r="A130" s="10" t="n">
        <v>19</v>
      </c>
      <c r="B130" s="11" t="n">
        <v>6</v>
      </c>
      <c r="C130" s="10" t="n">
        <v>232</v>
      </c>
      <c r="D130" s="10" t="n">
        <v>100</v>
      </c>
      <c r="E130" s="10" t="n">
        <v>2901</v>
      </c>
      <c r="F130" s="10" t="n">
        <v>16</v>
      </c>
      <c r="G130" s="11" t="n">
        <v>74</v>
      </c>
      <c r="H130" s="11" t="s">
        <v>52</v>
      </c>
      <c r="I130" s="11" t="s">
        <v>70</v>
      </c>
    </row>
    <row r="131" customFormat="false" ht="15" hidden="false" customHeight="true" outlineLevel="0" collapsed="false">
      <c r="A131" s="10" t="n">
        <v>15</v>
      </c>
      <c r="B131" s="11" t="n">
        <v>6</v>
      </c>
      <c r="C131" s="10" t="n">
        <v>250</v>
      </c>
      <c r="D131" s="10" t="n">
        <v>100</v>
      </c>
      <c r="E131" s="10" t="n">
        <v>3336</v>
      </c>
      <c r="F131" s="10" t="n">
        <v>17</v>
      </c>
      <c r="G131" s="11" t="n">
        <v>74</v>
      </c>
      <c r="H131" s="11" t="s">
        <v>52</v>
      </c>
      <c r="I131" s="11" t="s">
        <v>162</v>
      </c>
    </row>
    <row r="132" customFormat="false" ht="15" hidden="false" customHeight="true" outlineLevel="0" collapsed="false">
      <c r="A132" s="10" t="n">
        <v>31</v>
      </c>
      <c r="B132" s="11" t="n">
        <v>4</v>
      </c>
      <c r="C132" s="10" t="n">
        <v>79</v>
      </c>
      <c r="D132" s="10" t="n">
        <v>67</v>
      </c>
      <c r="E132" s="10" t="n">
        <v>1950</v>
      </c>
      <c r="F132" s="10" t="n">
        <v>19</v>
      </c>
      <c r="G132" s="11" t="n">
        <v>74</v>
      </c>
      <c r="H132" s="11" t="s">
        <v>67</v>
      </c>
      <c r="I132" s="11" t="s">
        <v>163</v>
      </c>
    </row>
    <row r="133" customFormat="false" ht="15" hidden="false" customHeight="true" outlineLevel="0" collapsed="false">
      <c r="A133" s="10" t="n">
        <v>26</v>
      </c>
      <c r="B133" s="11" t="n">
        <v>4</v>
      </c>
      <c r="C133" s="10" t="n">
        <v>122</v>
      </c>
      <c r="D133" s="10" t="n">
        <v>80</v>
      </c>
      <c r="E133" s="10" t="n">
        <v>2451</v>
      </c>
      <c r="F133" s="10" t="n">
        <v>16.5</v>
      </c>
      <c r="G133" s="11" t="n">
        <v>74</v>
      </c>
      <c r="H133" s="11" t="s">
        <v>52</v>
      </c>
      <c r="I133" s="11" t="s">
        <v>86</v>
      </c>
    </row>
    <row r="134" customFormat="false" ht="15" hidden="false" customHeight="true" outlineLevel="0" collapsed="false">
      <c r="A134" s="10" t="n">
        <v>32</v>
      </c>
      <c r="B134" s="11" t="n">
        <v>4</v>
      </c>
      <c r="C134" s="10" t="n">
        <v>71</v>
      </c>
      <c r="D134" s="10" t="n">
        <v>65</v>
      </c>
      <c r="E134" s="10" t="n">
        <v>1836</v>
      </c>
      <c r="F134" s="10" t="n">
        <v>21</v>
      </c>
      <c r="G134" s="11" t="n">
        <v>74</v>
      </c>
      <c r="H134" s="11" t="s">
        <v>67</v>
      </c>
      <c r="I134" s="11" t="s">
        <v>102</v>
      </c>
    </row>
    <row r="135" customFormat="false" ht="15" hidden="false" customHeight="true" outlineLevel="0" collapsed="false">
      <c r="A135" s="10" t="n">
        <v>25</v>
      </c>
      <c r="B135" s="11" t="n">
        <v>4</v>
      </c>
      <c r="C135" s="10" t="n">
        <v>140</v>
      </c>
      <c r="D135" s="10" t="n">
        <v>75</v>
      </c>
      <c r="E135" s="10" t="n">
        <v>2542</v>
      </c>
      <c r="F135" s="10" t="n">
        <v>17</v>
      </c>
      <c r="G135" s="11" t="n">
        <v>74</v>
      </c>
      <c r="H135" s="11" t="s">
        <v>52</v>
      </c>
      <c r="I135" s="11" t="s">
        <v>109</v>
      </c>
    </row>
    <row r="136" customFormat="false" ht="15" hidden="false" customHeight="true" outlineLevel="0" collapsed="false">
      <c r="A136" s="10" t="n">
        <v>16</v>
      </c>
      <c r="B136" s="11" t="n">
        <v>6</v>
      </c>
      <c r="C136" s="10" t="n">
        <v>250</v>
      </c>
      <c r="D136" s="10" t="n">
        <v>100</v>
      </c>
      <c r="E136" s="10" t="n">
        <v>3781</v>
      </c>
      <c r="F136" s="10" t="n">
        <v>17</v>
      </c>
      <c r="G136" s="11" t="n">
        <v>74</v>
      </c>
      <c r="H136" s="11" t="s">
        <v>52</v>
      </c>
      <c r="I136" s="11" t="s">
        <v>164</v>
      </c>
    </row>
    <row r="137" customFormat="false" ht="15" hidden="false" customHeight="true" outlineLevel="0" collapsed="false">
      <c r="A137" s="10" t="n">
        <v>16</v>
      </c>
      <c r="B137" s="11" t="n">
        <v>6</v>
      </c>
      <c r="C137" s="10" t="n">
        <v>258</v>
      </c>
      <c r="D137" s="10" t="n">
        <v>110</v>
      </c>
      <c r="E137" s="10" t="n">
        <v>3632</v>
      </c>
      <c r="F137" s="10" t="n">
        <v>18</v>
      </c>
      <c r="G137" s="11" t="n">
        <v>74</v>
      </c>
      <c r="H137" s="11" t="s">
        <v>52</v>
      </c>
      <c r="I137" s="11" t="s">
        <v>89</v>
      </c>
    </row>
    <row r="138" customFormat="false" ht="15" hidden="false" customHeight="true" outlineLevel="0" collapsed="false">
      <c r="A138" s="10" t="n">
        <v>18</v>
      </c>
      <c r="B138" s="11" t="n">
        <v>6</v>
      </c>
      <c r="C138" s="10" t="n">
        <v>225</v>
      </c>
      <c r="D138" s="10" t="n">
        <v>105</v>
      </c>
      <c r="E138" s="10" t="n">
        <v>3613</v>
      </c>
      <c r="F138" s="10" t="n">
        <v>16.5</v>
      </c>
      <c r="G138" s="11" t="n">
        <v>74</v>
      </c>
      <c r="H138" s="11" t="s">
        <v>52</v>
      </c>
      <c r="I138" s="11" t="s">
        <v>165</v>
      </c>
    </row>
    <row r="139" customFormat="false" ht="15" hidden="false" customHeight="true" outlineLevel="0" collapsed="false">
      <c r="A139" s="10" t="n">
        <v>16</v>
      </c>
      <c r="B139" s="11" t="n">
        <v>8</v>
      </c>
      <c r="C139" s="10" t="n">
        <v>302</v>
      </c>
      <c r="D139" s="10" t="n">
        <v>140</v>
      </c>
      <c r="E139" s="10" t="n">
        <v>4141</v>
      </c>
      <c r="F139" s="10" t="n">
        <v>14</v>
      </c>
      <c r="G139" s="11" t="n">
        <v>74</v>
      </c>
      <c r="H139" s="11" t="s">
        <v>52</v>
      </c>
      <c r="I139" s="11" t="s">
        <v>132</v>
      </c>
    </row>
    <row r="140" customFormat="false" ht="15" hidden="false" customHeight="true" outlineLevel="0" collapsed="false">
      <c r="A140" s="10" t="n">
        <v>13</v>
      </c>
      <c r="B140" s="11" t="n">
        <v>8</v>
      </c>
      <c r="C140" s="10" t="n">
        <v>350</v>
      </c>
      <c r="D140" s="10" t="n">
        <v>150</v>
      </c>
      <c r="E140" s="10" t="n">
        <v>4699</v>
      </c>
      <c r="F140" s="10" t="n">
        <v>14.5</v>
      </c>
      <c r="G140" s="11" t="n">
        <v>74</v>
      </c>
      <c r="H140" s="11" t="s">
        <v>52</v>
      </c>
      <c r="I140" s="11" t="s">
        <v>166</v>
      </c>
    </row>
    <row r="141" customFormat="false" ht="15" hidden="false" customHeight="true" outlineLevel="0" collapsed="false">
      <c r="A141" s="10" t="n">
        <v>14</v>
      </c>
      <c r="B141" s="11" t="n">
        <v>8</v>
      </c>
      <c r="C141" s="10" t="n">
        <v>318</v>
      </c>
      <c r="D141" s="10" t="n">
        <v>150</v>
      </c>
      <c r="E141" s="10" t="n">
        <v>4457</v>
      </c>
      <c r="F141" s="10" t="n">
        <v>13.5</v>
      </c>
      <c r="G141" s="11" t="n">
        <v>74</v>
      </c>
      <c r="H141" s="11" t="s">
        <v>52</v>
      </c>
      <c r="I141" s="11" t="s">
        <v>167</v>
      </c>
    </row>
    <row r="142" customFormat="false" ht="15" hidden="false" customHeight="true" outlineLevel="0" collapsed="false">
      <c r="A142" s="10" t="n">
        <v>14</v>
      </c>
      <c r="B142" s="11" t="n">
        <v>8</v>
      </c>
      <c r="C142" s="10" t="n">
        <v>302</v>
      </c>
      <c r="D142" s="10" t="n">
        <v>140</v>
      </c>
      <c r="E142" s="10" t="n">
        <v>4638</v>
      </c>
      <c r="F142" s="10" t="n">
        <v>16</v>
      </c>
      <c r="G142" s="11" t="n">
        <v>74</v>
      </c>
      <c r="H142" s="11" t="s">
        <v>52</v>
      </c>
      <c r="I142" s="11" t="s">
        <v>119</v>
      </c>
    </row>
    <row r="143" customFormat="false" ht="15" hidden="false" customHeight="true" outlineLevel="0" collapsed="false">
      <c r="A143" s="10" t="n">
        <v>14</v>
      </c>
      <c r="B143" s="11" t="n">
        <v>8</v>
      </c>
      <c r="C143" s="10" t="n">
        <v>304</v>
      </c>
      <c r="D143" s="10" t="n">
        <v>150</v>
      </c>
      <c r="E143" s="10" t="n">
        <v>4257</v>
      </c>
      <c r="F143" s="10" t="n">
        <v>15.5</v>
      </c>
      <c r="G143" s="11" t="n">
        <v>74</v>
      </c>
      <c r="H143" s="11" t="s">
        <v>52</v>
      </c>
      <c r="I143" s="11" t="s">
        <v>117</v>
      </c>
    </row>
    <row r="144" customFormat="false" ht="15" hidden="false" customHeight="true" outlineLevel="0" collapsed="false">
      <c r="A144" s="10" t="n">
        <v>29</v>
      </c>
      <c r="B144" s="11" t="n">
        <v>4</v>
      </c>
      <c r="C144" s="10" t="n">
        <v>98</v>
      </c>
      <c r="D144" s="10" t="n">
        <v>83</v>
      </c>
      <c r="E144" s="10" t="n">
        <v>2219</v>
      </c>
      <c r="F144" s="10" t="n">
        <v>16.5</v>
      </c>
      <c r="G144" s="11" t="n">
        <v>74</v>
      </c>
      <c r="H144" s="11" t="s">
        <v>73</v>
      </c>
      <c r="I144" s="11" t="s">
        <v>168</v>
      </c>
    </row>
    <row r="145" customFormat="false" ht="15" hidden="false" customHeight="true" outlineLevel="0" collapsed="false">
      <c r="A145" s="10" t="n">
        <v>26</v>
      </c>
      <c r="B145" s="11" t="n">
        <v>4</v>
      </c>
      <c r="C145" s="10" t="n">
        <v>79</v>
      </c>
      <c r="D145" s="10" t="n">
        <v>67</v>
      </c>
      <c r="E145" s="10" t="n">
        <v>1963</v>
      </c>
      <c r="F145" s="10" t="n">
        <v>15.5</v>
      </c>
      <c r="G145" s="11" t="n">
        <v>74</v>
      </c>
      <c r="H145" s="11" t="s">
        <v>73</v>
      </c>
      <c r="I145" s="11" t="s">
        <v>169</v>
      </c>
    </row>
    <row r="146" customFormat="false" ht="15" hidden="false" customHeight="true" outlineLevel="0" collapsed="false">
      <c r="A146" s="10" t="n">
        <v>26</v>
      </c>
      <c r="B146" s="11" t="n">
        <v>4</v>
      </c>
      <c r="C146" s="10" t="n">
        <v>97</v>
      </c>
      <c r="D146" s="10" t="n">
        <v>78</v>
      </c>
      <c r="E146" s="10" t="n">
        <v>2300</v>
      </c>
      <c r="F146" s="10" t="n">
        <v>14.5</v>
      </c>
      <c r="G146" s="11" t="n">
        <v>74</v>
      </c>
      <c r="H146" s="11" t="s">
        <v>73</v>
      </c>
      <c r="I146" s="11" t="s">
        <v>155</v>
      </c>
    </row>
    <row r="147" customFormat="false" ht="15" hidden="false" customHeight="true" outlineLevel="0" collapsed="false">
      <c r="A147" s="10" t="n">
        <v>31</v>
      </c>
      <c r="B147" s="11" t="n">
        <v>4</v>
      </c>
      <c r="C147" s="10" t="n">
        <v>76</v>
      </c>
      <c r="D147" s="10" t="n">
        <v>52</v>
      </c>
      <c r="E147" s="10" t="n">
        <v>1649</v>
      </c>
      <c r="F147" s="10" t="n">
        <v>16.5</v>
      </c>
      <c r="G147" s="11" t="n">
        <v>74</v>
      </c>
      <c r="H147" s="11" t="s">
        <v>67</v>
      </c>
      <c r="I147" s="11" t="s">
        <v>85</v>
      </c>
    </row>
    <row r="148" customFormat="false" ht="15" hidden="false" customHeight="true" outlineLevel="0" collapsed="false">
      <c r="A148" s="10" t="n">
        <v>32</v>
      </c>
      <c r="B148" s="11" t="n">
        <v>4</v>
      </c>
      <c r="C148" s="10" t="n">
        <v>83</v>
      </c>
      <c r="D148" s="10" t="n">
        <v>61</v>
      </c>
      <c r="E148" s="10" t="n">
        <v>2003</v>
      </c>
      <c r="F148" s="10" t="n">
        <v>19</v>
      </c>
      <c r="G148" s="11" t="n">
        <v>74</v>
      </c>
      <c r="H148" s="11" t="s">
        <v>67</v>
      </c>
      <c r="I148" s="11" t="s">
        <v>170</v>
      </c>
    </row>
    <row r="149" customFormat="false" ht="15" hidden="false" customHeight="true" outlineLevel="0" collapsed="false">
      <c r="A149" s="10" t="n">
        <v>28</v>
      </c>
      <c r="B149" s="11" t="n">
        <v>4</v>
      </c>
      <c r="C149" s="10" t="n">
        <v>90</v>
      </c>
      <c r="D149" s="10" t="n">
        <v>75</v>
      </c>
      <c r="E149" s="10" t="n">
        <v>2125</v>
      </c>
      <c r="F149" s="10" t="n">
        <v>14.5</v>
      </c>
      <c r="G149" s="11" t="n">
        <v>74</v>
      </c>
      <c r="H149" s="11" t="s">
        <v>52</v>
      </c>
      <c r="I149" s="11" t="s">
        <v>171</v>
      </c>
    </row>
    <row r="150" customFormat="false" ht="15" hidden="false" customHeight="true" outlineLevel="0" collapsed="false">
      <c r="A150" s="10" t="n">
        <v>24</v>
      </c>
      <c r="B150" s="11" t="n">
        <v>4</v>
      </c>
      <c r="C150" s="10" t="n">
        <v>90</v>
      </c>
      <c r="D150" s="10" t="n">
        <v>75</v>
      </c>
      <c r="E150" s="10" t="n">
        <v>2108</v>
      </c>
      <c r="F150" s="10" t="n">
        <v>15.5</v>
      </c>
      <c r="G150" s="11" t="n">
        <v>74</v>
      </c>
      <c r="H150" s="11" t="s">
        <v>73</v>
      </c>
      <c r="I150" s="11" t="s">
        <v>154</v>
      </c>
    </row>
    <row r="151" customFormat="false" ht="15" hidden="false" customHeight="true" outlineLevel="0" collapsed="false">
      <c r="A151" s="10" t="n">
        <v>26</v>
      </c>
      <c r="B151" s="11" t="n">
        <v>4</v>
      </c>
      <c r="C151" s="10" t="n">
        <v>116</v>
      </c>
      <c r="D151" s="10" t="n">
        <v>75</v>
      </c>
      <c r="E151" s="10" t="n">
        <v>2246</v>
      </c>
      <c r="F151" s="10" t="n">
        <v>14</v>
      </c>
      <c r="G151" s="11" t="n">
        <v>74</v>
      </c>
      <c r="H151" s="11" t="s">
        <v>73</v>
      </c>
      <c r="I151" s="11" t="s">
        <v>172</v>
      </c>
    </row>
    <row r="152" customFormat="false" ht="15" hidden="false" customHeight="true" outlineLevel="0" collapsed="false">
      <c r="A152" s="10" t="n">
        <v>24</v>
      </c>
      <c r="B152" s="11" t="n">
        <v>4</v>
      </c>
      <c r="C152" s="10" t="n">
        <v>120</v>
      </c>
      <c r="D152" s="10" t="n">
        <v>97</v>
      </c>
      <c r="E152" s="10" t="n">
        <v>2489</v>
      </c>
      <c r="F152" s="10" t="n">
        <v>15</v>
      </c>
      <c r="G152" s="11" t="n">
        <v>74</v>
      </c>
      <c r="H152" s="11" t="s">
        <v>67</v>
      </c>
      <c r="I152" s="11" t="s">
        <v>173</v>
      </c>
    </row>
    <row r="153" customFormat="false" ht="15" hidden="false" customHeight="true" outlineLevel="0" collapsed="false">
      <c r="A153" s="10" t="n">
        <v>26</v>
      </c>
      <c r="B153" s="11" t="n">
        <v>4</v>
      </c>
      <c r="C153" s="10" t="n">
        <v>108</v>
      </c>
      <c r="D153" s="10" t="n">
        <v>93</v>
      </c>
      <c r="E153" s="10" t="n">
        <v>2391</v>
      </c>
      <c r="F153" s="10" t="n">
        <v>15.5</v>
      </c>
      <c r="G153" s="11" t="n">
        <v>74</v>
      </c>
      <c r="H153" s="11" t="s">
        <v>67</v>
      </c>
      <c r="I153" s="11" t="s">
        <v>174</v>
      </c>
    </row>
    <row r="154" customFormat="false" ht="15" hidden="false" customHeight="true" outlineLevel="0" collapsed="false">
      <c r="A154" s="10" t="n">
        <v>31</v>
      </c>
      <c r="B154" s="11" t="n">
        <v>4</v>
      </c>
      <c r="C154" s="10" t="n">
        <v>79</v>
      </c>
      <c r="D154" s="10" t="n">
        <v>67</v>
      </c>
      <c r="E154" s="10" t="n">
        <v>2000</v>
      </c>
      <c r="F154" s="10" t="n">
        <v>16</v>
      </c>
      <c r="G154" s="11" t="n">
        <v>74</v>
      </c>
      <c r="H154" s="11" t="s">
        <v>73</v>
      </c>
      <c r="I154" s="11" t="s">
        <v>175</v>
      </c>
    </row>
    <row r="155" customFormat="false" ht="15" hidden="false" customHeight="true" outlineLevel="0" collapsed="false">
      <c r="A155" s="10" t="n">
        <v>19</v>
      </c>
      <c r="B155" s="11" t="n">
        <v>6</v>
      </c>
      <c r="C155" s="10" t="n">
        <v>225</v>
      </c>
      <c r="D155" s="10" t="n">
        <v>95</v>
      </c>
      <c r="E155" s="10" t="n">
        <v>3264</v>
      </c>
      <c r="F155" s="10" t="n">
        <v>16</v>
      </c>
      <c r="G155" s="11" t="n">
        <v>75</v>
      </c>
      <c r="H155" s="11" t="s">
        <v>52</v>
      </c>
      <c r="I155" s="11" t="s">
        <v>176</v>
      </c>
    </row>
    <row r="156" customFormat="false" ht="15" hidden="false" customHeight="true" outlineLevel="0" collapsed="false">
      <c r="A156" s="10" t="n">
        <v>18</v>
      </c>
      <c r="B156" s="11" t="n">
        <v>6</v>
      </c>
      <c r="C156" s="10" t="n">
        <v>250</v>
      </c>
      <c r="D156" s="10" t="n">
        <v>105</v>
      </c>
      <c r="E156" s="10" t="n">
        <v>3459</v>
      </c>
      <c r="F156" s="10" t="n">
        <v>16</v>
      </c>
      <c r="G156" s="11" t="n">
        <v>75</v>
      </c>
      <c r="H156" s="11" t="s">
        <v>52</v>
      </c>
      <c r="I156" s="11" t="s">
        <v>162</v>
      </c>
    </row>
    <row r="157" customFormat="false" ht="15" hidden="false" customHeight="true" outlineLevel="0" collapsed="false">
      <c r="A157" s="10" t="n">
        <v>15</v>
      </c>
      <c r="B157" s="11" t="n">
        <v>6</v>
      </c>
      <c r="C157" s="10" t="n">
        <v>250</v>
      </c>
      <c r="D157" s="10" t="n">
        <v>72</v>
      </c>
      <c r="E157" s="10" t="n">
        <v>3432</v>
      </c>
      <c r="F157" s="10" t="n">
        <v>21</v>
      </c>
      <c r="G157" s="11" t="n">
        <v>75</v>
      </c>
      <c r="H157" s="11" t="s">
        <v>52</v>
      </c>
      <c r="I157" s="11" t="s">
        <v>177</v>
      </c>
    </row>
    <row r="158" customFormat="false" ht="15" hidden="false" customHeight="true" outlineLevel="0" collapsed="false">
      <c r="A158" s="10" t="n">
        <v>15</v>
      </c>
      <c r="B158" s="11" t="n">
        <v>6</v>
      </c>
      <c r="C158" s="10" t="n">
        <v>250</v>
      </c>
      <c r="D158" s="10" t="n">
        <v>72</v>
      </c>
      <c r="E158" s="10" t="n">
        <v>3158</v>
      </c>
      <c r="F158" s="10" t="n">
        <v>19.5</v>
      </c>
      <c r="G158" s="11" t="n">
        <v>75</v>
      </c>
      <c r="H158" s="11" t="s">
        <v>52</v>
      </c>
      <c r="I158" s="11" t="s">
        <v>71</v>
      </c>
    </row>
    <row r="159" customFormat="false" ht="15" hidden="false" customHeight="true" outlineLevel="0" collapsed="false">
      <c r="A159" s="10" t="n">
        <v>16</v>
      </c>
      <c r="B159" s="11" t="n">
        <v>8</v>
      </c>
      <c r="C159" s="10" t="n">
        <v>400</v>
      </c>
      <c r="D159" s="10" t="n">
        <v>170</v>
      </c>
      <c r="E159" s="10" t="n">
        <v>4668</v>
      </c>
      <c r="F159" s="10" t="n">
        <v>11.5</v>
      </c>
      <c r="G159" s="11" t="n">
        <v>75</v>
      </c>
      <c r="H159" s="11" t="s">
        <v>52</v>
      </c>
      <c r="I159" s="11" t="s">
        <v>61</v>
      </c>
    </row>
    <row r="160" customFormat="false" ht="15" hidden="false" customHeight="true" outlineLevel="0" collapsed="false">
      <c r="A160" s="10" t="n">
        <v>15</v>
      </c>
      <c r="B160" s="11" t="n">
        <v>8</v>
      </c>
      <c r="C160" s="10" t="n">
        <v>350</v>
      </c>
      <c r="D160" s="10" t="n">
        <v>145</v>
      </c>
      <c r="E160" s="10" t="n">
        <v>4440</v>
      </c>
      <c r="F160" s="10" t="n">
        <v>14</v>
      </c>
      <c r="G160" s="11" t="n">
        <v>75</v>
      </c>
      <c r="H160" s="11" t="s">
        <v>52</v>
      </c>
      <c r="I160" s="11" t="s">
        <v>178</v>
      </c>
    </row>
    <row r="161" customFormat="false" ht="15" hidden="false" customHeight="true" outlineLevel="0" collapsed="false">
      <c r="A161" s="10" t="n">
        <v>16</v>
      </c>
      <c r="B161" s="11" t="n">
        <v>8</v>
      </c>
      <c r="C161" s="10" t="n">
        <v>318</v>
      </c>
      <c r="D161" s="10" t="n">
        <v>150</v>
      </c>
      <c r="E161" s="10" t="n">
        <v>4498</v>
      </c>
      <c r="F161" s="10" t="n">
        <v>14.5</v>
      </c>
      <c r="G161" s="11" t="n">
        <v>75</v>
      </c>
      <c r="H161" s="11" t="s">
        <v>52</v>
      </c>
      <c r="I161" s="11" t="s">
        <v>179</v>
      </c>
    </row>
    <row r="162" customFormat="false" ht="15" hidden="false" customHeight="true" outlineLevel="0" collapsed="false">
      <c r="A162" s="10" t="n">
        <v>14</v>
      </c>
      <c r="B162" s="11" t="n">
        <v>8</v>
      </c>
      <c r="C162" s="10" t="n">
        <v>351</v>
      </c>
      <c r="D162" s="10" t="n">
        <v>148</v>
      </c>
      <c r="E162" s="10" t="n">
        <v>4657</v>
      </c>
      <c r="F162" s="10" t="n">
        <v>13.5</v>
      </c>
      <c r="G162" s="11" t="n">
        <v>75</v>
      </c>
      <c r="H162" s="11" t="s">
        <v>52</v>
      </c>
      <c r="I162" s="11" t="s">
        <v>136</v>
      </c>
    </row>
    <row r="163" customFormat="false" ht="15" hidden="false" customHeight="true" outlineLevel="0" collapsed="false">
      <c r="A163" s="10" t="n">
        <v>17</v>
      </c>
      <c r="B163" s="11" t="n">
        <v>6</v>
      </c>
      <c r="C163" s="10" t="n">
        <v>231</v>
      </c>
      <c r="D163" s="10" t="n">
        <v>110</v>
      </c>
      <c r="E163" s="10" t="n">
        <v>3907</v>
      </c>
      <c r="F163" s="10" t="n">
        <v>21</v>
      </c>
      <c r="G163" s="11" t="n">
        <v>75</v>
      </c>
      <c r="H163" s="11" t="s">
        <v>52</v>
      </c>
      <c r="I163" s="11" t="s">
        <v>180</v>
      </c>
    </row>
    <row r="164" customFormat="false" ht="15" hidden="false" customHeight="true" outlineLevel="0" collapsed="false">
      <c r="A164" s="10" t="n">
        <v>16</v>
      </c>
      <c r="B164" s="11" t="n">
        <v>6</v>
      </c>
      <c r="C164" s="10" t="n">
        <v>250</v>
      </c>
      <c r="D164" s="10" t="n">
        <v>105</v>
      </c>
      <c r="E164" s="10" t="n">
        <v>3897</v>
      </c>
      <c r="F164" s="10" t="n">
        <v>18.5</v>
      </c>
      <c r="G164" s="11" t="n">
        <v>75</v>
      </c>
      <c r="H164" s="11" t="s">
        <v>52</v>
      </c>
      <c r="I164" s="11" t="s">
        <v>181</v>
      </c>
    </row>
    <row r="165" customFormat="false" ht="15" hidden="false" customHeight="true" outlineLevel="0" collapsed="false">
      <c r="A165" s="10" t="n">
        <v>15</v>
      </c>
      <c r="B165" s="11" t="n">
        <v>6</v>
      </c>
      <c r="C165" s="10" t="n">
        <v>258</v>
      </c>
      <c r="D165" s="10" t="n">
        <v>110</v>
      </c>
      <c r="E165" s="10" t="n">
        <v>3730</v>
      </c>
      <c r="F165" s="10" t="n">
        <v>19</v>
      </c>
      <c r="G165" s="11" t="n">
        <v>75</v>
      </c>
      <c r="H165" s="11" t="s">
        <v>52</v>
      </c>
      <c r="I165" s="11" t="s">
        <v>89</v>
      </c>
    </row>
    <row r="166" customFormat="false" ht="15" hidden="false" customHeight="true" outlineLevel="0" collapsed="false">
      <c r="A166" s="10" t="n">
        <v>18</v>
      </c>
      <c r="B166" s="11" t="n">
        <v>6</v>
      </c>
      <c r="C166" s="10" t="n">
        <v>225</v>
      </c>
      <c r="D166" s="10" t="n">
        <v>95</v>
      </c>
      <c r="E166" s="10" t="n">
        <v>3785</v>
      </c>
      <c r="F166" s="10" t="n">
        <v>19</v>
      </c>
      <c r="G166" s="11" t="n">
        <v>75</v>
      </c>
      <c r="H166" s="11" t="s">
        <v>52</v>
      </c>
      <c r="I166" s="11" t="s">
        <v>182</v>
      </c>
    </row>
    <row r="167" customFormat="false" ht="15" hidden="false" customHeight="true" outlineLevel="0" collapsed="false">
      <c r="A167" s="10" t="n">
        <v>21</v>
      </c>
      <c r="B167" s="11" t="n">
        <v>6</v>
      </c>
      <c r="C167" s="10" t="n">
        <v>231</v>
      </c>
      <c r="D167" s="10" t="n">
        <v>110</v>
      </c>
      <c r="E167" s="10" t="n">
        <v>3039</v>
      </c>
      <c r="F167" s="10" t="n">
        <v>15</v>
      </c>
      <c r="G167" s="11" t="n">
        <v>75</v>
      </c>
      <c r="H167" s="11" t="s">
        <v>52</v>
      </c>
      <c r="I167" s="11" t="s">
        <v>183</v>
      </c>
    </row>
    <row r="168" customFormat="false" ht="15" hidden="false" customHeight="true" outlineLevel="0" collapsed="false">
      <c r="A168" s="10" t="n">
        <v>20</v>
      </c>
      <c r="B168" s="11" t="n">
        <v>8</v>
      </c>
      <c r="C168" s="10" t="n">
        <v>262</v>
      </c>
      <c r="D168" s="10" t="n">
        <v>110</v>
      </c>
      <c r="E168" s="10" t="n">
        <v>3221</v>
      </c>
      <c r="F168" s="10" t="n">
        <v>13.5</v>
      </c>
      <c r="G168" s="11" t="n">
        <v>75</v>
      </c>
      <c r="H168" s="11" t="s">
        <v>52</v>
      </c>
      <c r="I168" s="11" t="s">
        <v>184</v>
      </c>
    </row>
    <row r="169" customFormat="false" ht="15" hidden="false" customHeight="true" outlineLevel="0" collapsed="false">
      <c r="A169" s="10" t="n">
        <v>13</v>
      </c>
      <c r="B169" s="11" t="n">
        <v>8</v>
      </c>
      <c r="C169" s="10" t="n">
        <v>302</v>
      </c>
      <c r="D169" s="10" t="n">
        <v>129</v>
      </c>
      <c r="E169" s="10" t="n">
        <v>3169</v>
      </c>
      <c r="F169" s="10" t="n">
        <v>12</v>
      </c>
      <c r="G169" s="11" t="n">
        <v>75</v>
      </c>
      <c r="H169" s="11" t="s">
        <v>52</v>
      </c>
      <c r="I169" s="11" t="s">
        <v>185</v>
      </c>
    </row>
    <row r="170" customFormat="false" ht="15" hidden="false" customHeight="true" outlineLevel="0" collapsed="false">
      <c r="A170" s="10" t="n">
        <v>29</v>
      </c>
      <c r="B170" s="11" t="n">
        <v>4</v>
      </c>
      <c r="C170" s="10" t="n">
        <v>97</v>
      </c>
      <c r="D170" s="10" t="n">
        <v>75</v>
      </c>
      <c r="E170" s="10" t="n">
        <v>2171</v>
      </c>
      <c r="F170" s="10" t="n">
        <v>16</v>
      </c>
      <c r="G170" s="11" t="n">
        <v>75</v>
      </c>
      <c r="H170" s="11" t="s">
        <v>67</v>
      </c>
      <c r="I170" s="11" t="s">
        <v>186</v>
      </c>
    </row>
    <row r="171" customFormat="false" ht="15" hidden="false" customHeight="true" outlineLevel="0" collapsed="false">
      <c r="A171" s="10" t="n">
        <v>23</v>
      </c>
      <c r="B171" s="11" t="n">
        <v>4</v>
      </c>
      <c r="C171" s="10" t="n">
        <v>140</v>
      </c>
      <c r="D171" s="10" t="n">
        <v>83</v>
      </c>
      <c r="E171" s="10" t="n">
        <v>2639</v>
      </c>
      <c r="F171" s="10" t="n">
        <v>17</v>
      </c>
      <c r="G171" s="11" t="n">
        <v>75</v>
      </c>
      <c r="H171" s="11" t="s">
        <v>52</v>
      </c>
      <c r="I171" s="11" t="s">
        <v>86</v>
      </c>
    </row>
    <row r="172" customFormat="false" ht="15" hidden="false" customHeight="true" outlineLevel="0" collapsed="false">
      <c r="A172" s="10" t="n">
        <v>20</v>
      </c>
      <c r="B172" s="11" t="n">
        <v>6</v>
      </c>
      <c r="C172" s="10" t="n">
        <v>232</v>
      </c>
      <c r="D172" s="10" t="n">
        <v>100</v>
      </c>
      <c r="E172" s="10" t="n">
        <v>2914</v>
      </c>
      <c r="F172" s="10" t="n">
        <v>16</v>
      </c>
      <c r="G172" s="11" t="n">
        <v>75</v>
      </c>
      <c r="H172" s="11" t="s">
        <v>52</v>
      </c>
      <c r="I172" s="11" t="s">
        <v>79</v>
      </c>
    </row>
    <row r="173" customFormat="false" ht="15" hidden="false" customHeight="true" outlineLevel="0" collapsed="false">
      <c r="A173" s="10" t="n">
        <v>23</v>
      </c>
      <c r="B173" s="11" t="n">
        <v>4</v>
      </c>
      <c r="C173" s="10" t="n">
        <v>140</v>
      </c>
      <c r="D173" s="10" t="n">
        <v>78</v>
      </c>
      <c r="E173" s="10" t="n">
        <v>2592</v>
      </c>
      <c r="F173" s="10" t="n">
        <v>18.5</v>
      </c>
      <c r="G173" s="11" t="n">
        <v>75</v>
      </c>
      <c r="H173" s="11" t="s">
        <v>52</v>
      </c>
      <c r="I173" s="11" t="s">
        <v>187</v>
      </c>
    </row>
    <row r="174" customFormat="false" ht="15" hidden="false" customHeight="true" outlineLevel="0" collapsed="false">
      <c r="A174" s="10" t="n">
        <v>24</v>
      </c>
      <c r="B174" s="11" t="n">
        <v>4</v>
      </c>
      <c r="C174" s="10" t="n">
        <v>134</v>
      </c>
      <c r="D174" s="10" t="n">
        <v>96</v>
      </c>
      <c r="E174" s="10" t="n">
        <v>2702</v>
      </c>
      <c r="F174" s="10" t="n">
        <v>13.5</v>
      </c>
      <c r="G174" s="11" t="n">
        <v>75</v>
      </c>
      <c r="H174" s="11" t="s">
        <v>67</v>
      </c>
      <c r="I174" s="11" t="s">
        <v>85</v>
      </c>
    </row>
    <row r="175" customFormat="false" ht="15" hidden="false" customHeight="true" outlineLevel="0" collapsed="false">
      <c r="A175" s="10" t="n">
        <v>25</v>
      </c>
      <c r="B175" s="11" t="n">
        <v>4</v>
      </c>
      <c r="C175" s="10" t="n">
        <v>90</v>
      </c>
      <c r="D175" s="10" t="n">
        <v>71</v>
      </c>
      <c r="E175" s="10" t="n">
        <v>2223</v>
      </c>
      <c r="F175" s="10" t="n">
        <v>16.5</v>
      </c>
      <c r="G175" s="11" t="n">
        <v>75</v>
      </c>
      <c r="H175" s="11" t="s">
        <v>73</v>
      </c>
      <c r="I175" s="11" t="s">
        <v>169</v>
      </c>
    </row>
    <row r="176" customFormat="false" ht="15" hidden="false" customHeight="true" outlineLevel="0" collapsed="false">
      <c r="A176" s="10" t="n">
        <v>24</v>
      </c>
      <c r="B176" s="11" t="n">
        <v>4</v>
      </c>
      <c r="C176" s="10" t="n">
        <v>119</v>
      </c>
      <c r="D176" s="10" t="n">
        <v>97</v>
      </c>
      <c r="E176" s="10" t="n">
        <v>2545</v>
      </c>
      <c r="F176" s="10" t="n">
        <v>17</v>
      </c>
      <c r="G176" s="11" t="n">
        <v>75</v>
      </c>
      <c r="H176" s="11" t="s">
        <v>67</v>
      </c>
      <c r="I176" s="11" t="s">
        <v>170</v>
      </c>
    </row>
    <row r="177" customFormat="false" ht="15" hidden="false" customHeight="true" outlineLevel="0" collapsed="false">
      <c r="A177" s="10" t="n">
        <v>18</v>
      </c>
      <c r="B177" s="11" t="n">
        <v>6</v>
      </c>
      <c r="C177" s="10" t="n">
        <v>171</v>
      </c>
      <c r="D177" s="10" t="n">
        <v>97</v>
      </c>
      <c r="E177" s="10" t="n">
        <v>2984</v>
      </c>
      <c r="F177" s="10" t="n">
        <v>14.5</v>
      </c>
      <c r="G177" s="11" t="n">
        <v>75</v>
      </c>
      <c r="H177" s="11" t="s">
        <v>52</v>
      </c>
      <c r="I177" s="11" t="s">
        <v>86</v>
      </c>
    </row>
    <row r="178" customFormat="false" ht="15" hidden="false" customHeight="true" outlineLevel="0" collapsed="false">
      <c r="A178" s="10" t="n">
        <v>29</v>
      </c>
      <c r="B178" s="11" t="n">
        <v>4</v>
      </c>
      <c r="C178" s="10" t="n">
        <v>90</v>
      </c>
      <c r="D178" s="10" t="n">
        <v>70</v>
      </c>
      <c r="E178" s="10" t="n">
        <v>1937</v>
      </c>
      <c r="F178" s="10" t="n">
        <v>14</v>
      </c>
      <c r="G178" s="11" t="n">
        <v>75</v>
      </c>
      <c r="H178" s="11" t="s">
        <v>73</v>
      </c>
      <c r="I178" s="11" t="s">
        <v>188</v>
      </c>
    </row>
    <row r="179" customFormat="false" ht="15" hidden="false" customHeight="true" outlineLevel="0" collapsed="false">
      <c r="A179" s="10" t="n">
        <v>19</v>
      </c>
      <c r="B179" s="11" t="n">
        <v>6</v>
      </c>
      <c r="C179" s="10" t="n">
        <v>232</v>
      </c>
      <c r="D179" s="10" t="n">
        <v>90</v>
      </c>
      <c r="E179" s="10" t="n">
        <v>3211</v>
      </c>
      <c r="F179" s="10" t="n">
        <v>17</v>
      </c>
      <c r="G179" s="11" t="n">
        <v>75</v>
      </c>
      <c r="H179" s="11" t="s">
        <v>52</v>
      </c>
      <c r="I179" s="11" t="s">
        <v>189</v>
      </c>
    </row>
    <row r="180" customFormat="false" ht="15" hidden="false" customHeight="true" outlineLevel="0" collapsed="false">
      <c r="A180" s="10" t="n">
        <v>23</v>
      </c>
      <c r="B180" s="11" t="n">
        <v>4</v>
      </c>
      <c r="C180" s="10" t="n">
        <v>115</v>
      </c>
      <c r="D180" s="10" t="n">
        <v>95</v>
      </c>
      <c r="E180" s="10" t="n">
        <v>2694</v>
      </c>
      <c r="F180" s="10" t="n">
        <v>15</v>
      </c>
      <c r="G180" s="11" t="n">
        <v>75</v>
      </c>
      <c r="H180" s="11" t="s">
        <v>73</v>
      </c>
      <c r="I180" s="11" t="s">
        <v>156</v>
      </c>
    </row>
    <row r="181" customFormat="false" ht="15" hidden="false" customHeight="true" outlineLevel="0" collapsed="false">
      <c r="A181" s="10" t="n">
        <v>23</v>
      </c>
      <c r="B181" s="11" t="n">
        <v>4</v>
      </c>
      <c r="C181" s="10" t="n">
        <v>120</v>
      </c>
      <c r="D181" s="10" t="n">
        <v>88</v>
      </c>
      <c r="E181" s="10" t="n">
        <v>2957</v>
      </c>
      <c r="F181" s="10" t="n">
        <v>17</v>
      </c>
      <c r="G181" s="11" t="n">
        <v>75</v>
      </c>
      <c r="H181" s="11" t="s">
        <v>73</v>
      </c>
      <c r="I181" s="11" t="s">
        <v>75</v>
      </c>
    </row>
    <row r="182" customFormat="false" ht="15" hidden="false" customHeight="true" outlineLevel="0" collapsed="false">
      <c r="A182" s="10" t="n">
        <v>22</v>
      </c>
      <c r="B182" s="11" t="n">
        <v>4</v>
      </c>
      <c r="C182" s="10" t="n">
        <v>121</v>
      </c>
      <c r="D182" s="10" t="n">
        <v>98</v>
      </c>
      <c r="E182" s="10" t="n">
        <v>2945</v>
      </c>
      <c r="F182" s="10" t="n">
        <v>14.5</v>
      </c>
      <c r="G182" s="11" t="n">
        <v>75</v>
      </c>
      <c r="H182" s="11" t="s">
        <v>73</v>
      </c>
      <c r="I182" s="11" t="s">
        <v>190</v>
      </c>
    </row>
    <row r="183" customFormat="false" ht="15" hidden="false" customHeight="true" outlineLevel="0" collapsed="false">
      <c r="A183" s="10" t="n">
        <v>25</v>
      </c>
      <c r="B183" s="11" t="n">
        <v>4</v>
      </c>
      <c r="C183" s="10" t="n">
        <v>121</v>
      </c>
      <c r="D183" s="10" t="n">
        <v>115</v>
      </c>
      <c r="E183" s="10" t="n">
        <v>2671</v>
      </c>
      <c r="F183" s="10" t="n">
        <v>13.5</v>
      </c>
      <c r="G183" s="11" t="n">
        <v>75</v>
      </c>
      <c r="H183" s="11" t="s">
        <v>73</v>
      </c>
      <c r="I183" s="11" t="s">
        <v>159</v>
      </c>
    </row>
    <row r="184" customFormat="false" ht="15" hidden="false" customHeight="true" outlineLevel="0" collapsed="false">
      <c r="A184" s="10" t="n">
        <v>33</v>
      </c>
      <c r="B184" s="11" t="n">
        <v>4</v>
      </c>
      <c r="C184" s="10" t="n">
        <v>91</v>
      </c>
      <c r="D184" s="10" t="n">
        <v>53</v>
      </c>
      <c r="E184" s="10" t="n">
        <v>1795</v>
      </c>
      <c r="F184" s="10" t="n">
        <v>17.5</v>
      </c>
      <c r="G184" s="11" t="n">
        <v>75</v>
      </c>
      <c r="H184" s="11" t="s">
        <v>67</v>
      </c>
      <c r="I184" s="11" t="s">
        <v>191</v>
      </c>
    </row>
    <row r="185" customFormat="false" ht="15" hidden="false" customHeight="true" outlineLevel="0" collapsed="false">
      <c r="A185" s="10" t="n">
        <v>28</v>
      </c>
      <c r="B185" s="11" t="n">
        <v>4</v>
      </c>
      <c r="C185" s="10" t="n">
        <v>107</v>
      </c>
      <c r="D185" s="10" t="n">
        <v>86</v>
      </c>
      <c r="E185" s="10" t="n">
        <v>2464</v>
      </c>
      <c r="F185" s="10" t="n">
        <v>15.5</v>
      </c>
      <c r="G185" s="11" t="n">
        <v>76</v>
      </c>
      <c r="H185" s="11" t="s">
        <v>73</v>
      </c>
      <c r="I185" s="11" t="s">
        <v>192</v>
      </c>
    </row>
    <row r="186" customFormat="false" ht="15" hidden="false" customHeight="true" outlineLevel="0" collapsed="false">
      <c r="A186" s="10" t="n">
        <v>25</v>
      </c>
      <c r="B186" s="11" t="n">
        <v>4</v>
      </c>
      <c r="C186" s="10" t="n">
        <v>116</v>
      </c>
      <c r="D186" s="10" t="n">
        <v>81</v>
      </c>
      <c r="E186" s="10" t="n">
        <v>2220</v>
      </c>
      <c r="F186" s="10" t="n">
        <v>16.9</v>
      </c>
      <c r="G186" s="11" t="n">
        <v>76</v>
      </c>
      <c r="H186" s="11" t="s">
        <v>73</v>
      </c>
      <c r="I186" s="11" t="s">
        <v>99</v>
      </c>
    </row>
    <row r="187" customFormat="false" ht="15" hidden="false" customHeight="true" outlineLevel="0" collapsed="false">
      <c r="A187" s="10" t="n">
        <v>25</v>
      </c>
      <c r="B187" s="11" t="n">
        <v>4</v>
      </c>
      <c r="C187" s="10" t="n">
        <v>140</v>
      </c>
      <c r="D187" s="10" t="n">
        <v>92</v>
      </c>
      <c r="E187" s="10" t="n">
        <v>2572</v>
      </c>
      <c r="F187" s="10" t="n">
        <v>14.9</v>
      </c>
      <c r="G187" s="11" t="n">
        <v>76</v>
      </c>
      <c r="H187" s="11" t="s">
        <v>52</v>
      </c>
      <c r="I187" s="11" t="s">
        <v>193</v>
      </c>
    </row>
    <row r="188" customFormat="false" ht="15" hidden="false" customHeight="true" outlineLevel="0" collapsed="false">
      <c r="A188" s="10" t="n">
        <v>26</v>
      </c>
      <c r="B188" s="11" t="n">
        <v>4</v>
      </c>
      <c r="C188" s="10" t="n">
        <v>98</v>
      </c>
      <c r="D188" s="10" t="n">
        <v>79</v>
      </c>
      <c r="E188" s="10" t="n">
        <v>2255</v>
      </c>
      <c r="F188" s="10" t="n">
        <v>17.7</v>
      </c>
      <c r="G188" s="11" t="n">
        <v>76</v>
      </c>
      <c r="H188" s="11" t="s">
        <v>52</v>
      </c>
      <c r="I188" s="11" t="s">
        <v>171</v>
      </c>
    </row>
    <row r="189" customFormat="false" ht="15" hidden="false" customHeight="true" outlineLevel="0" collapsed="false">
      <c r="A189" s="10" t="n">
        <v>27</v>
      </c>
      <c r="B189" s="11" t="n">
        <v>4</v>
      </c>
      <c r="C189" s="10" t="n">
        <v>101</v>
      </c>
      <c r="D189" s="10" t="n">
        <v>83</v>
      </c>
      <c r="E189" s="10" t="n">
        <v>2202</v>
      </c>
      <c r="F189" s="10" t="n">
        <v>15.3</v>
      </c>
      <c r="G189" s="11" t="n">
        <v>76</v>
      </c>
      <c r="H189" s="11" t="s">
        <v>73</v>
      </c>
      <c r="I189" s="11" t="s">
        <v>194</v>
      </c>
    </row>
    <row r="190" customFormat="false" ht="15" hidden="false" customHeight="true" outlineLevel="0" collapsed="false">
      <c r="A190" s="10" t="n">
        <v>17.5</v>
      </c>
      <c r="B190" s="11" t="n">
        <v>8</v>
      </c>
      <c r="C190" s="10" t="n">
        <v>305</v>
      </c>
      <c r="D190" s="10" t="n">
        <v>140</v>
      </c>
      <c r="E190" s="10" t="n">
        <v>4215</v>
      </c>
      <c r="F190" s="10" t="n">
        <v>13</v>
      </c>
      <c r="G190" s="11" t="n">
        <v>76</v>
      </c>
      <c r="H190" s="11" t="s">
        <v>52</v>
      </c>
      <c r="I190" s="11" t="s">
        <v>164</v>
      </c>
    </row>
    <row r="191" customFormat="false" ht="15" hidden="false" customHeight="true" outlineLevel="0" collapsed="false">
      <c r="A191" s="10" t="n">
        <v>16</v>
      </c>
      <c r="B191" s="11" t="n">
        <v>8</v>
      </c>
      <c r="C191" s="10" t="n">
        <v>318</v>
      </c>
      <c r="D191" s="10" t="n">
        <v>150</v>
      </c>
      <c r="E191" s="10" t="n">
        <v>4190</v>
      </c>
      <c r="F191" s="10" t="n">
        <v>13</v>
      </c>
      <c r="G191" s="11" t="n">
        <v>76</v>
      </c>
      <c r="H191" s="11" t="s">
        <v>52</v>
      </c>
      <c r="I191" s="11" t="s">
        <v>195</v>
      </c>
    </row>
    <row r="192" customFormat="false" ht="15" hidden="false" customHeight="true" outlineLevel="0" collapsed="false">
      <c r="A192" s="10" t="n">
        <v>15.5</v>
      </c>
      <c r="B192" s="11" t="n">
        <v>8</v>
      </c>
      <c r="C192" s="10" t="n">
        <v>304</v>
      </c>
      <c r="D192" s="10" t="n">
        <v>120</v>
      </c>
      <c r="E192" s="10" t="n">
        <v>3962</v>
      </c>
      <c r="F192" s="10" t="n">
        <v>13.9</v>
      </c>
      <c r="G192" s="11" t="n">
        <v>76</v>
      </c>
      <c r="H192" s="11" t="s">
        <v>52</v>
      </c>
      <c r="I192" s="11" t="s">
        <v>89</v>
      </c>
    </row>
    <row r="193" customFormat="false" ht="15" hidden="false" customHeight="true" outlineLevel="0" collapsed="false">
      <c r="A193" s="10" t="n">
        <v>14.5</v>
      </c>
      <c r="B193" s="11" t="n">
        <v>8</v>
      </c>
      <c r="C193" s="10" t="n">
        <v>351</v>
      </c>
      <c r="D193" s="10" t="n">
        <v>152</v>
      </c>
      <c r="E193" s="10" t="n">
        <v>4215</v>
      </c>
      <c r="F193" s="10" t="n">
        <v>12.8</v>
      </c>
      <c r="G193" s="11" t="n">
        <v>76</v>
      </c>
      <c r="H193" s="11" t="s">
        <v>52</v>
      </c>
      <c r="I193" s="11" t="s">
        <v>132</v>
      </c>
    </row>
    <row r="194" customFormat="false" ht="15" hidden="false" customHeight="true" outlineLevel="0" collapsed="false">
      <c r="A194" s="10" t="n">
        <v>22</v>
      </c>
      <c r="B194" s="11" t="n">
        <v>6</v>
      </c>
      <c r="C194" s="10" t="n">
        <v>225</v>
      </c>
      <c r="D194" s="10" t="n">
        <v>100</v>
      </c>
      <c r="E194" s="10" t="n">
        <v>3233</v>
      </c>
      <c r="F194" s="10" t="n">
        <v>15.4</v>
      </c>
      <c r="G194" s="11" t="n">
        <v>76</v>
      </c>
      <c r="H194" s="11" t="s">
        <v>52</v>
      </c>
      <c r="I194" s="11" t="s">
        <v>141</v>
      </c>
    </row>
    <row r="195" customFormat="false" ht="15" hidden="false" customHeight="true" outlineLevel="0" collapsed="false">
      <c r="A195" s="10" t="n">
        <v>22</v>
      </c>
      <c r="B195" s="11" t="n">
        <v>6</v>
      </c>
      <c r="C195" s="10" t="n">
        <v>250</v>
      </c>
      <c r="D195" s="10" t="n">
        <v>105</v>
      </c>
      <c r="E195" s="10" t="n">
        <v>3353</v>
      </c>
      <c r="F195" s="10" t="n">
        <v>14.5</v>
      </c>
      <c r="G195" s="11" t="n">
        <v>76</v>
      </c>
      <c r="H195" s="11" t="s">
        <v>52</v>
      </c>
      <c r="I195" s="11" t="s">
        <v>162</v>
      </c>
    </row>
    <row r="196" customFormat="false" ht="15" hidden="false" customHeight="true" outlineLevel="0" collapsed="false">
      <c r="A196" s="10" t="n">
        <v>24</v>
      </c>
      <c r="B196" s="11" t="n">
        <v>6</v>
      </c>
      <c r="C196" s="10" t="n">
        <v>200</v>
      </c>
      <c r="D196" s="10" t="n">
        <v>81</v>
      </c>
      <c r="E196" s="10" t="n">
        <v>3012</v>
      </c>
      <c r="F196" s="10" t="n">
        <v>17.6</v>
      </c>
      <c r="G196" s="11" t="n">
        <v>76</v>
      </c>
      <c r="H196" s="11" t="s">
        <v>52</v>
      </c>
      <c r="I196" s="11" t="s">
        <v>71</v>
      </c>
    </row>
    <row r="197" customFormat="false" ht="15" hidden="false" customHeight="true" outlineLevel="0" collapsed="false">
      <c r="A197" s="10" t="n">
        <v>22.5</v>
      </c>
      <c r="B197" s="11" t="n">
        <v>6</v>
      </c>
      <c r="C197" s="10" t="n">
        <v>232</v>
      </c>
      <c r="D197" s="10" t="n">
        <v>90</v>
      </c>
      <c r="E197" s="10" t="n">
        <v>3085</v>
      </c>
      <c r="F197" s="10" t="n">
        <v>17.6</v>
      </c>
      <c r="G197" s="11" t="n">
        <v>76</v>
      </c>
      <c r="H197" s="11" t="s">
        <v>52</v>
      </c>
      <c r="I197" s="11" t="s">
        <v>70</v>
      </c>
    </row>
    <row r="198" customFormat="false" ht="15" hidden="false" customHeight="true" outlineLevel="0" collapsed="false">
      <c r="A198" s="10" t="n">
        <v>29</v>
      </c>
      <c r="B198" s="11" t="n">
        <v>4</v>
      </c>
      <c r="C198" s="10" t="n">
        <v>85</v>
      </c>
      <c r="D198" s="10" t="n">
        <v>52</v>
      </c>
      <c r="E198" s="10" t="n">
        <v>2035</v>
      </c>
      <c r="F198" s="10" t="n">
        <v>22.2</v>
      </c>
      <c r="G198" s="11" t="n">
        <v>76</v>
      </c>
      <c r="H198" s="11" t="s">
        <v>52</v>
      </c>
      <c r="I198" s="11" t="s">
        <v>196</v>
      </c>
    </row>
    <row r="199" customFormat="false" ht="15" hidden="false" customHeight="true" outlineLevel="0" collapsed="false">
      <c r="A199" s="10" t="n">
        <v>24.5</v>
      </c>
      <c r="B199" s="11" t="n">
        <v>4</v>
      </c>
      <c r="C199" s="10" t="n">
        <v>98</v>
      </c>
      <c r="D199" s="10" t="n">
        <v>60</v>
      </c>
      <c r="E199" s="10" t="n">
        <v>2164</v>
      </c>
      <c r="F199" s="10" t="n">
        <v>22.1</v>
      </c>
      <c r="G199" s="11" t="n">
        <v>76</v>
      </c>
      <c r="H199" s="11" t="s">
        <v>52</v>
      </c>
      <c r="I199" s="11" t="s">
        <v>197</v>
      </c>
    </row>
    <row r="200" customFormat="false" ht="15" hidden="false" customHeight="true" outlineLevel="0" collapsed="false">
      <c r="A200" s="10" t="n">
        <v>29</v>
      </c>
      <c r="B200" s="11" t="n">
        <v>4</v>
      </c>
      <c r="C200" s="10" t="n">
        <v>90</v>
      </c>
      <c r="D200" s="10" t="n">
        <v>70</v>
      </c>
      <c r="E200" s="10" t="n">
        <v>1937</v>
      </c>
      <c r="F200" s="10" t="n">
        <v>14.2</v>
      </c>
      <c r="G200" s="11" t="n">
        <v>76</v>
      </c>
      <c r="H200" s="11" t="s">
        <v>73</v>
      </c>
      <c r="I200" s="11" t="s">
        <v>198</v>
      </c>
    </row>
    <row r="201" customFormat="false" ht="15" hidden="false" customHeight="true" outlineLevel="0" collapsed="false">
      <c r="A201" s="10" t="n">
        <v>33</v>
      </c>
      <c r="B201" s="11" t="n">
        <v>4</v>
      </c>
      <c r="C201" s="10" t="n">
        <v>91</v>
      </c>
      <c r="D201" s="10" t="n">
        <v>53</v>
      </c>
      <c r="E201" s="10" t="n">
        <v>1795</v>
      </c>
      <c r="F201" s="10" t="n">
        <v>17.4</v>
      </c>
      <c r="G201" s="11" t="n">
        <v>76</v>
      </c>
      <c r="H201" s="11" t="s">
        <v>67</v>
      </c>
      <c r="I201" s="11" t="s">
        <v>173</v>
      </c>
    </row>
    <row r="202" customFormat="false" ht="15" hidden="false" customHeight="true" outlineLevel="0" collapsed="false">
      <c r="A202" s="10" t="n">
        <v>20</v>
      </c>
      <c r="B202" s="11" t="n">
        <v>6</v>
      </c>
      <c r="C202" s="10" t="n">
        <v>225</v>
      </c>
      <c r="D202" s="10" t="n">
        <v>100</v>
      </c>
      <c r="E202" s="10" t="n">
        <v>3651</v>
      </c>
      <c r="F202" s="10" t="n">
        <v>17.7</v>
      </c>
      <c r="G202" s="11" t="n">
        <v>76</v>
      </c>
      <c r="H202" s="11" t="s">
        <v>52</v>
      </c>
      <c r="I202" s="11" t="s">
        <v>199</v>
      </c>
    </row>
    <row r="203" customFormat="false" ht="15" hidden="false" customHeight="true" outlineLevel="0" collapsed="false">
      <c r="A203" s="10" t="n">
        <v>18</v>
      </c>
      <c r="B203" s="11" t="n">
        <v>6</v>
      </c>
      <c r="C203" s="10" t="n">
        <v>250</v>
      </c>
      <c r="D203" s="10" t="n">
        <v>78</v>
      </c>
      <c r="E203" s="10" t="n">
        <v>3574</v>
      </c>
      <c r="F203" s="10" t="n">
        <v>21</v>
      </c>
      <c r="G203" s="11" t="n">
        <v>76</v>
      </c>
      <c r="H203" s="11" t="s">
        <v>52</v>
      </c>
      <c r="I203" s="11" t="s">
        <v>200</v>
      </c>
    </row>
    <row r="204" customFormat="false" ht="15" hidden="false" customHeight="true" outlineLevel="0" collapsed="false">
      <c r="A204" s="10" t="n">
        <v>18.5</v>
      </c>
      <c r="B204" s="11" t="n">
        <v>6</v>
      </c>
      <c r="C204" s="10" t="n">
        <v>250</v>
      </c>
      <c r="D204" s="10" t="n">
        <v>110</v>
      </c>
      <c r="E204" s="10" t="n">
        <v>3645</v>
      </c>
      <c r="F204" s="10" t="n">
        <v>16.2</v>
      </c>
      <c r="G204" s="11" t="n">
        <v>76</v>
      </c>
      <c r="H204" s="11" t="s">
        <v>52</v>
      </c>
      <c r="I204" s="11" t="s">
        <v>201</v>
      </c>
    </row>
    <row r="205" customFormat="false" ht="15" hidden="false" customHeight="true" outlineLevel="0" collapsed="false">
      <c r="A205" s="10" t="n">
        <v>17.5</v>
      </c>
      <c r="B205" s="11" t="n">
        <v>6</v>
      </c>
      <c r="C205" s="10" t="n">
        <v>258</v>
      </c>
      <c r="D205" s="10" t="n">
        <v>95</v>
      </c>
      <c r="E205" s="10" t="n">
        <v>3193</v>
      </c>
      <c r="F205" s="10" t="n">
        <v>17.8</v>
      </c>
      <c r="G205" s="11" t="n">
        <v>76</v>
      </c>
      <c r="H205" s="11" t="s">
        <v>52</v>
      </c>
      <c r="I205" s="11" t="s">
        <v>202</v>
      </c>
    </row>
    <row r="206" customFormat="false" ht="15" hidden="false" customHeight="true" outlineLevel="0" collapsed="false">
      <c r="A206" s="10" t="n">
        <v>29.5</v>
      </c>
      <c r="B206" s="11" t="n">
        <v>4</v>
      </c>
      <c r="C206" s="10" t="n">
        <v>97</v>
      </c>
      <c r="D206" s="10" t="n">
        <v>71</v>
      </c>
      <c r="E206" s="10" t="n">
        <v>1825</v>
      </c>
      <c r="F206" s="10" t="n">
        <v>12.2</v>
      </c>
      <c r="G206" s="11" t="n">
        <v>76</v>
      </c>
      <c r="H206" s="11" t="s">
        <v>73</v>
      </c>
      <c r="I206" s="11" t="s">
        <v>188</v>
      </c>
    </row>
    <row r="207" customFormat="false" ht="15" hidden="false" customHeight="true" outlineLevel="0" collapsed="false">
      <c r="A207" s="10" t="n">
        <v>32</v>
      </c>
      <c r="B207" s="11" t="n">
        <v>4</v>
      </c>
      <c r="C207" s="10" t="n">
        <v>85</v>
      </c>
      <c r="D207" s="10" t="n">
        <v>70</v>
      </c>
      <c r="E207" s="10" t="n">
        <v>1990</v>
      </c>
      <c r="F207" s="10" t="n">
        <v>17</v>
      </c>
      <c r="G207" s="11" t="n">
        <v>76</v>
      </c>
      <c r="H207" s="11" t="s">
        <v>67</v>
      </c>
      <c r="I207" s="11" t="s">
        <v>203</v>
      </c>
    </row>
    <row r="208" customFormat="false" ht="15" hidden="false" customHeight="true" outlineLevel="0" collapsed="false">
      <c r="A208" s="10" t="n">
        <v>28</v>
      </c>
      <c r="B208" s="11" t="n">
        <v>4</v>
      </c>
      <c r="C208" s="10" t="n">
        <v>97</v>
      </c>
      <c r="D208" s="10" t="n">
        <v>75</v>
      </c>
      <c r="E208" s="10" t="n">
        <v>2155</v>
      </c>
      <c r="F208" s="10" t="n">
        <v>16.4</v>
      </c>
      <c r="G208" s="11" t="n">
        <v>76</v>
      </c>
      <c r="H208" s="11" t="s">
        <v>67</v>
      </c>
      <c r="I208" s="11" t="s">
        <v>186</v>
      </c>
    </row>
    <row r="209" customFormat="false" ht="15" hidden="false" customHeight="true" outlineLevel="0" collapsed="false">
      <c r="A209" s="10" t="n">
        <v>26.5</v>
      </c>
      <c r="B209" s="11" t="n">
        <v>4</v>
      </c>
      <c r="C209" s="10" t="n">
        <v>140</v>
      </c>
      <c r="D209" s="10" t="n">
        <v>72</v>
      </c>
      <c r="E209" s="10" t="n">
        <v>2565</v>
      </c>
      <c r="F209" s="10" t="n">
        <v>13.6</v>
      </c>
      <c r="G209" s="11" t="n">
        <v>76</v>
      </c>
      <c r="H209" s="11" t="s">
        <v>52</v>
      </c>
      <c r="I209" s="11" t="s">
        <v>86</v>
      </c>
    </row>
    <row r="210" customFormat="false" ht="15" hidden="false" customHeight="true" outlineLevel="0" collapsed="false">
      <c r="A210" s="10" t="n">
        <v>20</v>
      </c>
      <c r="B210" s="11" t="n">
        <v>4</v>
      </c>
      <c r="C210" s="10" t="n">
        <v>130</v>
      </c>
      <c r="D210" s="10" t="n">
        <v>102</v>
      </c>
      <c r="E210" s="10" t="n">
        <v>3150</v>
      </c>
      <c r="F210" s="10" t="n">
        <v>15.7</v>
      </c>
      <c r="G210" s="11" t="n">
        <v>76</v>
      </c>
      <c r="H210" s="11" t="s">
        <v>73</v>
      </c>
      <c r="I210" s="11" t="s">
        <v>204</v>
      </c>
    </row>
    <row r="211" customFormat="false" ht="15" hidden="false" customHeight="true" outlineLevel="0" collapsed="false">
      <c r="A211" s="10" t="n">
        <v>13</v>
      </c>
      <c r="B211" s="11" t="n">
        <v>8</v>
      </c>
      <c r="C211" s="10" t="n">
        <v>318</v>
      </c>
      <c r="D211" s="10" t="n">
        <v>150</v>
      </c>
      <c r="E211" s="10" t="n">
        <v>3940</v>
      </c>
      <c r="F211" s="10" t="n">
        <v>13.2</v>
      </c>
      <c r="G211" s="11" t="n">
        <v>76</v>
      </c>
      <c r="H211" s="11" t="s">
        <v>52</v>
      </c>
      <c r="I211" s="11" t="s">
        <v>205</v>
      </c>
    </row>
    <row r="212" customFormat="false" ht="15" hidden="false" customHeight="true" outlineLevel="0" collapsed="false">
      <c r="A212" s="10" t="n">
        <v>19</v>
      </c>
      <c r="B212" s="11" t="n">
        <v>4</v>
      </c>
      <c r="C212" s="10" t="n">
        <v>120</v>
      </c>
      <c r="D212" s="10" t="n">
        <v>88</v>
      </c>
      <c r="E212" s="10" t="n">
        <v>3270</v>
      </c>
      <c r="F212" s="10" t="n">
        <v>21.9</v>
      </c>
      <c r="G212" s="11" t="n">
        <v>76</v>
      </c>
      <c r="H212" s="11" t="s">
        <v>73</v>
      </c>
      <c r="I212" s="11" t="s">
        <v>75</v>
      </c>
    </row>
    <row r="213" customFormat="false" ht="15" hidden="false" customHeight="true" outlineLevel="0" collapsed="false">
      <c r="A213" s="10" t="n">
        <v>19</v>
      </c>
      <c r="B213" s="11" t="n">
        <v>6</v>
      </c>
      <c r="C213" s="10" t="n">
        <v>156</v>
      </c>
      <c r="D213" s="10" t="n">
        <v>108</v>
      </c>
      <c r="E213" s="10" t="n">
        <v>2930</v>
      </c>
      <c r="F213" s="10" t="n">
        <v>15.5</v>
      </c>
      <c r="G213" s="11" t="n">
        <v>76</v>
      </c>
      <c r="H213" s="11" t="s">
        <v>67</v>
      </c>
      <c r="I213" s="11" t="s">
        <v>160</v>
      </c>
    </row>
    <row r="214" customFormat="false" ht="15" hidden="false" customHeight="true" outlineLevel="0" collapsed="false">
      <c r="A214" s="10" t="n">
        <v>16.5</v>
      </c>
      <c r="B214" s="11" t="n">
        <v>6</v>
      </c>
      <c r="C214" s="10" t="n">
        <v>168</v>
      </c>
      <c r="D214" s="10" t="n">
        <v>120</v>
      </c>
      <c r="E214" s="10" t="n">
        <v>3820</v>
      </c>
      <c r="F214" s="10" t="n">
        <v>16.7</v>
      </c>
      <c r="G214" s="11" t="n">
        <v>76</v>
      </c>
      <c r="H214" s="11" t="s">
        <v>73</v>
      </c>
      <c r="I214" s="11" t="s">
        <v>206</v>
      </c>
    </row>
    <row r="215" customFormat="false" ht="15" hidden="false" customHeight="true" outlineLevel="0" collapsed="false">
      <c r="A215" s="10" t="n">
        <v>16.5</v>
      </c>
      <c r="B215" s="11" t="n">
        <v>8</v>
      </c>
      <c r="C215" s="10" t="n">
        <v>350</v>
      </c>
      <c r="D215" s="10" t="n">
        <v>180</v>
      </c>
      <c r="E215" s="10" t="n">
        <v>4380</v>
      </c>
      <c r="F215" s="10" t="n">
        <v>12.1</v>
      </c>
      <c r="G215" s="11" t="n">
        <v>76</v>
      </c>
      <c r="H215" s="11" t="s">
        <v>52</v>
      </c>
      <c r="I215" s="11" t="s">
        <v>207</v>
      </c>
    </row>
    <row r="216" customFormat="false" ht="15" hidden="false" customHeight="true" outlineLevel="0" collapsed="false">
      <c r="A216" s="10" t="n">
        <v>13</v>
      </c>
      <c r="B216" s="11" t="n">
        <v>8</v>
      </c>
      <c r="C216" s="10" t="n">
        <v>350</v>
      </c>
      <c r="D216" s="10" t="n">
        <v>145</v>
      </c>
      <c r="E216" s="10" t="n">
        <v>4055</v>
      </c>
      <c r="F216" s="10" t="n">
        <v>12</v>
      </c>
      <c r="G216" s="11" t="n">
        <v>76</v>
      </c>
      <c r="H216" s="11" t="s">
        <v>52</v>
      </c>
      <c r="I216" s="11" t="s">
        <v>208</v>
      </c>
    </row>
    <row r="217" customFormat="false" ht="15" hidden="false" customHeight="true" outlineLevel="0" collapsed="false">
      <c r="A217" s="10" t="n">
        <v>13</v>
      </c>
      <c r="B217" s="11" t="n">
        <v>8</v>
      </c>
      <c r="C217" s="10" t="n">
        <v>302</v>
      </c>
      <c r="D217" s="10" t="n">
        <v>130</v>
      </c>
      <c r="E217" s="10" t="n">
        <v>3870</v>
      </c>
      <c r="F217" s="10" t="n">
        <v>15</v>
      </c>
      <c r="G217" s="11" t="n">
        <v>76</v>
      </c>
      <c r="H217" s="11" t="s">
        <v>52</v>
      </c>
      <c r="I217" s="11" t="s">
        <v>209</v>
      </c>
    </row>
    <row r="218" customFormat="false" ht="15" hidden="false" customHeight="true" outlineLevel="0" collapsed="false">
      <c r="A218" s="10" t="n">
        <v>13</v>
      </c>
      <c r="B218" s="11" t="n">
        <v>8</v>
      </c>
      <c r="C218" s="10" t="n">
        <v>318</v>
      </c>
      <c r="D218" s="10" t="n">
        <v>150</v>
      </c>
      <c r="E218" s="10" t="n">
        <v>3755</v>
      </c>
      <c r="F218" s="10" t="n">
        <v>14</v>
      </c>
      <c r="G218" s="11" t="n">
        <v>76</v>
      </c>
      <c r="H218" s="11" t="s">
        <v>52</v>
      </c>
      <c r="I218" s="11" t="s">
        <v>210</v>
      </c>
    </row>
    <row r="219" customFormat="false" ht="15" hidden="false" customHeight="true" outlineLevel="0" collapsed="false">
      <c r="A219" s="10" t="n">
        <v>31.5</v>
      </c>
      <c r="B219" s="11" t="n">
        <v>4</v>
      </c>
      <c r="C219" s="10" t="n">
        <v>98</v>
      </c>
      <c r="D219" s="10" t="n">
        <v>68</v>
      </c>
      <c r="E219" s="10" t="n">
        <v>2045</v>
      </c>
      <c r="F219" s="10" t="n">
        <v>18.5</v>
      </c>
      <c r="G219" s="11" t="n">
        <v>77</v>
      </c>
      <c r="H219" s="11" t="s">
        <v>67</v>
      </c>
      <c r="I219" s="11" t="s">
        <v>211</v>
      </c>
    </row>
    <row r="220" customFormat="false" ht="15" hidden="false" customHeight="true" outlineLevel="0" collapsed="false">
      <c r="A220" s="10" t="n">
        <v>30</v>
      </c>
      <c r="B220" s="11" t="n">
        <v>4</v>
      </c>
      <c r="C220" s="10" t="n">
        <v>111</v>
      </c>
      <c r="D220" s="10" t="n">
        <v>80</v>
      </c>
      <c r="E220" s="10" t="n">
        <v>2155</v>
      </c>
      <c r="F220" s="10" t="n">
        <v>14.8</v>
      </c>
      <c r="G220" s="11" t="n">
        <v>77</v>
      </c>
      <c r="H220" s="11" t="s">
        <v>52</v>
      </c>
      <c r="I220" s="11" t="s">
        <v>212</v>
      </c>
    </row>
    <row r="221" customFormat="false" ht="15" hidden="false" customHeight="true" outlineLevel="0" collapsed="false">
      <c r="A221" s="10" t="n">
        <v>36</v>
      </c>
      <c r="B221" s="11" t="n">
        <v>4</v>
      </c>
      <c r="C221" s="10" t="n">
        <v>79</v>
      </c>
      <c r="D221" s="10" t="n">
        <v>58</v>
      </c>
      <c r="E221" s="10" t="n">
        <v>1825</v>
      </c>
      <c r="F221" s="10" t="n">
        <v>18.6</v>
      </c>
      <c r="G221" s="11" t="n">
        <v>77</v>
      </c>
      <c r="H221" s="11" t="s">
        <v>73</v>
      </c>
      <c r="I221" s="11" t="s">
        <v>213</v>
      </c>
    </row>
    <row r="222" customFormat="false" ht="15" hidden="false" customHeight="true" outlineLevel="0" collapsed="false">
      <c r="A222" s="10" t="n">
        <v>25.5</v>
      </c>
      <c r="B222" s="11" t="n">
        <v>4</v>
      </c>
      <c r="C222" s="10" t="n">
        <v>122</v>
      </c>
      <c r="D222" s="10" t="n">
        <v>96</v>
      </c>
      <c r="E222" s="10" t="n">
        <v>2300</v>
      </c>
      <c r="F222" s="10" t="n">
        <v>15.5</v>
      </c>
      <c r="G222" s="11" t="n">
        <v>77</v>
      </c>
      <c r="H222" s="11" t="s">
        <v>52</v>
      </c>
      <c r="I222" s="11" t="s">
        <v>214</v>
      </c>
    </row>
    <row r="223" customFormat="false" ht="15" hidden="false" customHeight="true" outlineLevel="0" collapsed="false">
      <c r="A223" s="10" t="n">
        <v>33.5</v>
      </c>
      <c r="B223" s="11" t="n">
        <v>4</v>
      </c>
      <c r="C223" s="10" t="n">
        <v>85</v>
      </c>
      <c r="D223" s="10" t="n">
        <v>70</v>
      </c>
      <c r="E223" s="10" t="n">
        <v>1945</v>
      </c>
      <c r="F223" s="10" t="n">
        <v>16.8</v>
      </c>
      <c r="G223" s="11" t="n">
        <v>77</v>
      </c>
      <c r="H223" s="11" t="s">
        <v>67</v>
      </c>
      <c r="I223" s="11" t="s">
        <v>215</v>
      </c>
    </row>
    <row r="224" customFormat="false" ht="15" hidden="false" customHeight="true" outlineLevel="0" collapsed="false">
      <c r="A224" s="10" t="n">
        <v>17.5</v>
      </c>
      <c r="B224" s="11" t="n">
        <v>8</v>
      </c>
      <c r="C224" s="10" t="n">
        <v>305</v>
      </c>
      <c r="D224" s="10" t="n">
        <v>145</v>
      </c>
      <c r="E224" s="10" t="n">
        <v>3880</v>
      </c>
      <c r="F224" s="10" t="n">
        <v>12.5</v>
      </c>
      <c r="G224" s="11" t="n">
        <v>77</v>
      </c>
      <c r="H224" s="11" t="s">
        <v>52</v>
      </c>
      <c r="I224" s="11" t="s">
        <v>135</v>
      </c>
    </row>
    <row r="225" customFormat="false" ht="15" hidden="false" customHeight="true" outlineLevel="0" collapsed="false">
      <c r="A225" s="10" t="n">
        <v>17</v>
      </c>
      <c r="B225" s="11" t="n">
        <v>8</v>
      </c>
      <c r="C225" s="10" t="n">
        <v>260</v>
      </c>
      <c r="D225" s="10" t="n">
        <v>110</v>
      </c>
      <c r="E225" s="10" t="n">
        <v>4060</v>
      </c>
      <c r="F225" s="10" t="n">
        <v>19</v>
      </c>
      <c r="G225" s="11" t="n">
        <v>77</v>
      </c>
      <c r="H225" s="11" t="s">
        <v>52</v>
      </c>
      <c r="I225" s="11" t="s">
        <v>216</v>
      </c>
    </row>
    <row r="226" customFormat="false" ht="15" hidden="false" customHeight="true" outlineLevel="0" collapsed="false">
      <c r="A226" s="10" t="n">
        <v>15.5</v>
      </c>
      <c r="B226" s="11" t="n">
        <v>8</v>
      </c>
      <c r="C226" s="10" t="n">
        <v>318</v>
      </c>
      <c r="D226" s="10" t="n">
        <v>145</v>
      </c>
      <c r="E226" s="10" t="n">
        <v>4140</v>
      </c>
      <c r="F226" s="10" t="n">
        <v>13.7</v>
      </c>
      <c r="G226" s="11" t="n">
        <v>77</v>
      </c>
      <c r="H226" s="11" t="s">
        <v>52</v>
      </c>
      <c r="I226" s="11" t="s">
        <v>217</v>
      </c>
    </row>
    <row r="227" customFormat="false" ht="15" hidden="false" customHeight="true" outlineLevel="0" collapsed="false">
      <c r="A227" s="10" t="n">
        <v>15</v>
      </c>
      <c r="B227" s="11" t="n">
        <v>8</v>
      </c>
      <c r="C227" s="10" t="n">
        <v>302</v>
      </c>
      <c r="D227" s="10" t="n">
        <v>130</v>
      </c>
      <c r="E227" s="10" t="n">
        <v>4295</v>
      </c>
      <c r="F227" s="10" t="n">
        <v>14.9</v>
      </c>
      <c r="G227" s="11" t="n">
        <v>77</v>
      </c>
      <c r="H227" s="11" t="s">
        <v>52</v>
      </c>
      <c r="I227" s="11" t="s">
        <v>218</v>
      </c>
    </row>
    <row r="228" customFormat="false" ht="15" hidden="false" customHeight="true" outlineLevel="0" collapsed="false">
      <c r="A228" s="10" t="n">
        <v>17.5</v>
      </c>
      <c r="B228" s="11" t="n">
        <v>6</v>
      </c>
      <c r="C228" s="10" t="n">
        <v>250</v>
      </c>
      <c r="D228" s="10" t="n">
        <v>110</v>
      </c>
      <c r="E228" s="10" t="n">
        <v>3520</v>
      </c>
      <c r="F228" s="10" t="n">
        <v>16.4</v>
      </c>
      <c r="G228" s="11" t="n">
        <v>77</v>
      </c>
      <c r="H228" s="11" t="s">
        <v>52</v>
      </c>
      <c r="I228" s="11" t="s">
        <v>219</v>
      </c>
    </row>
    <row r="229" customFormat="false" ht="15" hidden="false" customHeight="true" outlineLevel="0" collapsed="false">
      <c r="A229" s="10" t="n">
        <v>20.5</v>
      </c>
      <c r="B229" s="11" t="n">
        <v>6</v>
      </c>
      <c r="C229" s="10" t="n">
        <v>231</v>
      </c>
      <c r="D229" s="10" t="n">
        <v>105</v>
      </c>
      <c r="E229" s="10" t="n">
        <v>3425</v>
      </c>
      <c r="F229" s="10" t="n">
        <v>16.9</v>
      </c>
      <c r="G229" s="11" t="n">
        <v>77</v>
      </c>
      <c r="H229" s="11" t="s">
        <v>52</v>
      </c>
      <c r="I229" s="11" t="s">
        <v>220</v>
      </c>
    </row>
    <row r="230" customFormat="false" ht="15" hidden="false" customHeight="true" outlineLevel="0" collapsed="false">
      <c r="A230" s="10" t="n">
        <v>19</v>
      </c>
      <c r="B230" s="11" t="n">
        <v>6</v>
      </c>
      <c r="C230" s="10" t="n">
        <v>225</v>
      </c>
      <c r="D230" s="10" t="n">
        <v>100</v>
      </c>
      <c r="E230" s="10" t="n">
        <v>3630</v>
      </c>
      <c r="F230" s="10" t="n">
        <v>17.7</v>
      </c>
      <c r="G230" s="11" t="n">
        <v>77</v>
      </c>
      <c r="H230" s="11" t="s">
        <v>52</v>
      </c>
      <c r="I230" s="11" t="s">
        <v>221</v>
      </c>
    </row>
    <row r="231" customFormat="false" ht="15" hidden="false" customHeight="true" outlineLevel="0" collapsed="false">
      <c r="A231" s="10" t="n">
        <v>18.5</v>
      </c>
      <c r="B231" s="11" t="n">
        <v>6</v>
      </c>
      <c r="C231" s="10" t="n">
        <v>250</v>
      </c>
      <c r="D231" s="10" t="n">
        <v>98</v>
      </c>
      <c r="E231" s="10" t="n">
        <v>3525</v>
      </c>
      <c r="F231" s="10" t="n">
        <v>19</v>
      </c>
      <c r="G231" s="11" t="n">
        <v>77</v>
      </c>
      <c r="H231" s="11" t="s">
        <v>52</v>
      </c>
      <c r="I231" s="11" t="s">
        <v>222</v>
      </c>
    </row>
    <row r="232" customFormat="false" ht="15" hidden="false" customHeight="true" outlineLevel="0" collapsed="false">
      <c r="A232" s="10" t="n">
        <v>16</v>
      </c>
      <c r="B232" s="11" t="n">
        <v>8</v>
      </c>
      <c r="C232" s="10" t="n">
        <v>400</v>
      </c>
      <c r="D232" s="10" t="n">
        <v>180</v>
      </c>
      <c r="E232" s="10" t="n">
        <v>4220</v>
      </c>
      <c r="F232" s="10" t="n">
        <v>11.1</v>
      </c>
      <c r="G232" s="11" t="n">
        <v>77</v>
      </c>
      <c r="H232" s="11" t="s">
        <v>52</v>
      </c>
      <c r="I232" s="11" t="s">
        <v>223</v>
      </c>
    </row>
    <row r="233" customFormat="false" ht="15" hidden="false" customHeight="true" outlineLevel="0" collapsed="false">
      <c r="A233" s="10" t="n">
        <v>15.5</v>
      </c>
      <c r="B233" s="11" t="n">
        <v>8</v>
      </c>
      <c r="C233" s="10" t="n">
        <v>350</v>
      </c>
      <c r="D233" s="10" t="n">
        <v>170</v>
      </c>
      <c r="E233" s="10" t="n">
        <v>4165</v>
      </c>
      <c r="F233" s="10" t="n">
        <v>11.4</v>
      </c>
      <c r="G233" s="11" t="n">
        <v>77</v>
      </c>
      <c r="H233" s="11" t="s">
        <v>52</v>
      </c>
      <c r="I233" s="11" t="s">
        <v>224</v>
      </c>
    </row>
    <row r="234" customFormat="false" ht="15" hidden="false" customHeight="true" outlineLevel="0" collapsed="false">
      <c r="A234" s="10" t="n">
        <v>15.5</v>
      </c>
      <c r="B234" s="11" t="n">
        <v>8</v>
      </c>
      <c r="C234" s="10" t="n">
        <v>400</v>
      </c>
      <c r="D234" s="10" t="n">
        <v>190</v>
      </c>
      <c r="E234" s="10" t="n">
        <v>4325</v>
      </c>
      <c r="F234" s="10" t="n">
        <v>12.2</v>
      </c>
      <c r="G234" s="11" t="n">
        <v>77</v>
      </c>
      <c r="H234" s="11" t="s">
        <v>52</v>
      </c>
      <c r="I234" s="11" t="s">
        <v>225</v>
      </c>
    </row>
    <row r="235" customFormat="false" ht="15" hidden="false" customHeight="true" outlineLevel="0" collapsed="false">
      <c r="A235" s="10" t="n">
        <v>16</v>
      </c>
      <c r="B235" s="11" t="n">
        <v>8</v>
      </c>
      <c r="C235" s="10" t="n">
        <v>351</v>
      </c>
      <c r="D235" s="10" t="n">
        <v>149</v>
      </c>
      <c r="E235" s="10" t="n">
        <v>4335</v>
      </c>
      <c r="F235" s="10" t="n">
        <v>14.5</v>
      </c>
      <c r="G235" s="11" t="n">
        <v>77</v>
      </c>
      <c r="H235" s="11" t="s">
        <v>52</v>
      </c>
      <c r="I235" s="11" t="s">
        <v>226</v>
      </c>
    </row>
    <row r="236" customFormat="false" ht="15" hidden="false" customHeight="true" outlineLevel="0" collapsed="false">
      <c r="A236" s="10" t="n">
        <v>29</v>
      </c>
      <c r="B236" s="11" t="n">
        <v>4</v>
      </c>
      <c r="C236" s="10" t="n">
        <v>97</v>
      </c>
      <c r="D236" s="10" t="n">
        <v>78</v>
      </c>
      <c r="E236" s="10" t="n">
        <v>1940</v>
      </c>
      <c r="F236" s="10" t="n">
        <v>14.5</v>
      </c>
      <c r="G236" s="11" t="n">
        <v>77</v>
      </c>
      <c r="H236" s="11" t="s">
        <v>73</v>
      </c>
      <c r="I236" s="11" t="s">
        <v>227</v>
      </c>
    </row>
    <row r="237" customFormat="false" ht="15" hidden="false" customHeight="true" outlineLevel="0" collapsed="false">
      <c r="A237" s="10" t="n">
        <v>24.5</v>
      </c>
      <c r="B237" s="11" t="n">
        <v>4</v>
      </c>
      <c r="C237" s="10" t="n">
        <v>151</v>
      </c>
      <c r="D237" s="10" t="n">
        <v>88</v>
      </c>
      <c r="E237" s="10" t="n">
        <v>2740</v>
      </c>
      <c r="F237" s="10" t="n">
        <v>16</v>
      </c>
      <c r="G237" s="11" t="n">
        <v>77</v>
      </c>
      <c r="H237" s="11" t="s">
        <v>52</v>
      </c>
      <c r="I237" s="11" t="s">
        <v>228</v>
      </c>
    </row>
    <row r="238" customFormat="false" ht="15" hidden="false" customHeight="true" outlineLevel="0" collapsed="false">
      <c r="A238" s="10" t="n">
        <v>26</v>
      </c>
      <c r="B238" s="11" t="n">
        <v>4</v>
      </c>
      <c r="C238" s="10" t="n">
        <v>97</v>
      </c>
      <c r="D238" s="10" t="n">
        <v>75</v>
      </c>
      <c r="E238" s="10" t="n">
        <v>2265</v>
      </c>
      <c r="F238" s="10" t="n">
        <v>18.2</v>
      </c>
      <c r="G238" s="11" t="n">
        <v>77</v>
      </c>
      <c r="H238" s="11" t="s">
        <v>67</v>
      </c>
      <c r="I238" s="11" t="s">
        <v>229</v>
      </c>
    </row>
    <row r="239" customFormat="false" ht="15" hidden="false" customHeight="true" outlineLevel="0" collapsed="false">
      <c r="A239" s="10" t="n">
        <v>25.5</v>
      </c>
      <c r="B239" s="11" t="n">
        <v>4</v>
      </c>
      <c r="C239" s="10" t="n">
        <v>140</v>
      </c>
      <c r="D239" s="10" t="n">
        <v>89</v>
      </c>
      <c r="E239" s="10" t="n">
        <v>2755</v>
      </c>
      <c r="F239" s="10" t="n">
        <v>15.8</v>
      </c>
      <c r="G239" s="11" t="n">
        <v>77</v>
      </c>
      <c r="H239" s="11" t="s">
        <v>52</v>
      </c>
      <c r="I239" s="11" t="s">
        <v>230</v>
      </c>
    </row>
    <row r="240" customFormat="false" ht="15" hidden="false" customHeight="true" outlineLevel="0" collapsed="false">
      <c r="A240" s="10" t="n">
        <v>30.5</v>
      </c>
      <c r="B240" s="11" t="n">
        <v>4</v>
      </c>
      <c r="C240" s="10" t="n">
        <v>98</v>
      </c>
      <c r="D240" s="10" t="n">
        <v>63</v>
      </c>
      <c r="E240" s="10" t="n">
        <v>2051</v>
      </c>
      <c r="F240" s="10" t="n">
        <v>17</v>
      </c>
      <c r="G240" s="11" t="n">
        <v>77</v>
      </c>
      <c r="H240" s="11" t="s">
        <v>52</v>
      </c>
      <c r="I240" s="11" t="s">
        <v>196</v>
      </c>
    </row>
    <row r="241" customFormat="false" ht="15" hidden="false" customHeight="true" outlineLevel="0" collapsed="false">
      <c r="A241" s="10" t="n">
        <v>33.5</v>
      </c>
      <c r="B241" s="11" t="n">
        <v>4</v>
      </c>
      <c r="C241" s="10" t="n">
        <v>98</v>
      </c>
      <c r="D241" s="10" t="n">
        <v>83</v>
      </c>
      <c r="E241" s="10" t="n">
        <v>2075</v>
      </c>
      <c r="F241" s="10" t="n">
        <v>15.9</v>
      </c>
      <c r="G241" s="11" t="n">
        <v>77</v>
      </c>
      <c r="H241" s="11" t="s">
        <v>52</v>
      </c>
      <c r="I241" s="11" t="s">
        <v>231</v>
      </c>
    </row>
    <row r="242" customFormat="false" ht="15" hidden="false" customHeight="true" outlineLevel="0" collapsed="false">
      <c r="A242" s="10" t="n">
        <v>30</v>
      </c>
      <c r="B242" s="11" t="n">
        <v>4</v>
      </c>
      <c r="C242" s="10" t="n">
        <v>97</v>
      </c>
      <c r="D242" s="10" t="n">
        <v>67</v>
      </c>
      <c r="E242" s="10" t="n">
        <v>1985</v>
      </c>
      <c r="F242" s="10" t="n">
        <v>16.4</v>
      </c>
      <c r="G242" s="11" t="n">
        <v>77</v>
      </c>
      <c r="H242" s="11" t="s">
        <v>67</v>
      </c>
      <c r="I242" s="11" t="s">
        <v>232</v>
      </c>
    </row>
    <row r="243" customFormat="false" ht="15" hidden="false" customHeight="true" outlineLevel="0" collapsed="false">
      <c r="A243" s="10" t="n">
        <v>30.5</v>
      </c>
      <c r="B243" s="11" t="n">
        <v>4</v>
      </c>
      <c r="C243" s="10" t="n">
        <v>97</v>
      </c>
      <c r="D243" s="10" t="n">
        <v>78</v>
      </c>
      <c r="E243" s="10" t="n">
        <v>2190</v>
      </c>
      <c r="F243" s="10" t="n">
        <v>14.1</v>
      </c>
      <c r="G243" s="11" t="n">
        <v>77</v>
      </c>
      <c r="H243" s="11" t="s">
        <v>73</v>
      </c>
      <c r="I243" s="11" t="s">
        <v>169</v>
      </c>
    </row>
    <row r="244" customFormat="false" ht="15" hidden="false" customHeight="true" outlineLevel="0" collapsed="false">
      <c r="A244" s="10" t="n">
        <v>22</v>
      </c>
      <c r="B244" s="11" t="n">
        <v>6</v>
      </c>
      <c r="C244" s="10" t="n">
        <v>146</v>
      </c>
      <c r="D244" s="10" t="n">
        <v>97</v>
      </c>
      <c r="E244" s="10" t="n">
        <v>2815</v>
      </c>
      <c r="F244" s="10" t="n">
        <v>14.5</v>
      </c>
      <c r="G244" s="11" t="n">
        <v>77</v>
      </c>
      <c r="H244" s="11" t="s">
        <v>67</v>
      </c>
      <c r="I244" s="11" t="s">
        <v>233</v>
      </c>
    </row>
    <row r="245" customFormat="false" ht="15" hidden="false" customHeight="true" outlineLevel="0" collapsed="false">
      <c r="A245" s="10" t="n">
        <v>21.5</v>
      </c>
      <c r="B245" s="11" t="n">
        <v>4</v>
      </c>
      <c r="C245" s="10" t="n">
        <v>121</v>
      </c>
      <c r="D245" s="10" t="n">
        <v>110</v>
      </c>
      <c r="E245" s="10" t="n">
        <v>2600</v>
      </c>
      <c r="F245" s="10" t="n">
        <v>12.8</v>
      </c>
      <c r="G245" s="11" t="n">
        <v>77</v>
      </c>
      <c r="H245" s="11" t="s">
        <v>73</v>
      </c>
      <c r="I245" s="11" t="s">
        <v>234</v>
      </c>
    </row>
    <row r="246" customFormat="false" ht="15" hidden="false" customHeight="true" outlineLevel="0" collapsed="false">
      <c r="A246" s="10" t="n">
        <v>21.5</v>
      </c>
      <c r="B246" s="11" t="n">
        <v>3</v>
      </c>
      <c r="C246" s="10" t="n">
        <v>80</v>
      </c>
      <c r="D246" s="10" t="n">
        <v>110</v>
      </c>
      <c r="E246" s="10" t="n">
        <v>2720</v>
      </c>
      <c r="F246" s="10" t="n">
        <v>13.5</v>
      </c>
      <c r="G246" s="11" t="n">
        <v>77</v>
      </c>
      <c r="H246" s="11" t="s">
        <v>67</v>
      </c>
      <c r="I246" s="11" t="s">
        <v>235</v>
      </c>
    </row>
    <row r="247" customFormat="false" ht="15" hidden="false" customHeight="true" outlineLevel="0" collapsed="false">
      <c r="A247" s="10" t="n">
        <v>43.1</v>
      </c>
      <c r="B247" s="11" t="n">
        <v>4</v>
      </c>
      <c r="C247" s="10" t="n">
        <v>90</v>
      </c>
      <c r="D247" s="10" t="n">
        <v>48</v>
      </c>
      <c r="E247" s="10" t="n">
        <v>1985</v>
      </c>
      <c r="F247" s="10" t="n">
        <v>21.5</v>
      </c>
      <c r="G247" s="11" t="n">
        <v>78</v>
      </c>
      <c r="H247" s="11" t="s">
        <v>73</v>
      </c>
      <c r="I247" s="11" t="s">
        <v>236</v>
      </c>
    </row>
    <row r="248" customFormat="false" ht="15" hidden="false" customHeight="true" outlineLevel="0" collapsed="false">
      <c r="A248" s="10" t="n">
        <v>36.1</v>
      </c>
      <c r="B248" s="11" t="n">
        <v>4</v>
      </c>
      <c r="C248" s="10" t="n">
        <v>98</v>
      </c>
      <c r="D248" s="10" t="n">
        <v>66</v>
      </c>
      <c r="E248" s="10" t="n">
        <v>1800</v>
      </c>
      <c r="F248" s="10" t="n">
        <v>14.4</v>
      </c>
      <c r="G248" s="11" t="n">
        <v>78</v>
      </c>
      <c r="H248" s="11" t="s">
        <v>52</v>
      </c>
      <c r="I248" s="11" t="s">
        <v>237</v>
      </c>
    </row>
    <row r="249" customFormat="false" ht="15" hidden="false" customHeight="true" outlineLevel="0" collapsed="false">
      <c r="A249" s="10" t="n">
        <v>32.8</v>
      </c>
      <c r="B249" s="11" t="n">
        <v>4</v>
      </c>
      <c r="C249" s="10" t="n">
        <v>78</v>
      </c>
      <c r="D249" s="10" t="n">
        <v>52</v>
      </c>
      <c r="E249" s="10" t="n">
        <v>1985</v>
      </c>
      <c r="F249" s="10" t="n">
        <v>19.4</v>
      </c>
      <c r="G249" s="11" t="n">
        <v>78</v>
      </c>
      <c r="H249" s="11" t="s">
        <v>67</v>
      </c>
      <c r="I249" s="11" t="s">
        <v>238</v>
      </c>
    </row>
    <row r="250" customFormat="false" ht="15" hidden="false" customHeight="true" outlineLevel="0" collapsed="false">
      <c r="A250" s="10" t="n">
        <v>39.4</v>
      </c>
      <c r="B250" s="11" t="n">
        <v>4</v>
      </c>
      <c r="C250" s="10" t="n">
        <v>85</v>
      </c>
      <c r="D250" s="10" t="n">
        <v>70</v>
      </c>
      <c r="E250" s="10" t="n">
        <v>2070</v>
      </c>
      <c r="F250" s="10" t="n">
        <v>18.6</v>
      </c>
      <c r="G250" s="11" t="n">
        <v>78</v>
      </c>
      <c r="H250" s="11" t="s">
        <v>67</v>
      </c>
      <c r="I250" s="11" t="s">
        <v>239</v>
      </c>
    </row>
    <row r="251" customFormat="false" ht="15" hidden="false" customHeight="true" outlineLevel="0" collapsed="false">
      <c r="A251" s="10" t="n">
        <v>36.1</v>
      </c>
      <c r="B251" s="11" t="n">
        <v>4</v>
      </c>
      <c r="C251" s="10" t="n">
        <v>91</v>
      </c>
      <c r="D251" s="10" t="n">
        <v>60</v>
      </c>
      <c r="E251" s="10" t="n">
        <v>1800</v>
      </c>
      <c r="F251" s="10" t="n">
        <v>16.4</v>
      </c>
      <c r="G251" s="11" t="n">
        <v>78</v>
      </c>
      <c r="H251" s="11" t="s">
        <v>67</v>
      </c>
      <c r="I251" s="11" t="s">
        <v>191</v>
      </c>
    </row>
    <row r="252" customFormat="false" ht="15" hidden="false" customHeight="true" outlineLevel="0" collapsed="false">
      <c r="A252" s="10" t="n">
        <v>19.9</v>
      </c>
      <c r="B252" s="11" t="n">
        <v>8</v>
      </c>
      <c r="C252" s="10" t="n">
        <v>260</v>
      </c>
      <c r="D252" s="10" t="n">
        <v>110</v>
      </c>
      <c r="E252" s="10" t="n">
        <v>3365</v>
      </c>
      <c r="F252" s="10" t="n">
        <v>15.5</v>
      </c>
      <c r="G252" s="11" t="n">
        <v>78</v>
      </c>
      <c r="H252" s="11" t="s">
        <v>52</v>
      </c>
      <c r="I252" s="11" t="s">
        <v>240</v>
      </c>
    </row>
    <row r="253" customFormat="false" ht="15" hidden="false" customHeight="true" outlineLevel="0" collapsed="false">
      <c r="A253" s="10" t="n">
        <v>19.4</v>
      </c>
      <c r="B253" s="11" t="n">
        <v>8</v>
      </c>
      <c r="C253" s="10" t="n">
        <v>318</v>
      </c>
      <c r="D253" s="10" t="n">
        <v>140</v>
      </c>
      <c r="E253" s="10" t="n">
        <v>3735</v>
      </c>
      <c r="F253" s="10" t="n">
        <v>13.2</v>
      </c>
      <c r="G253" s="11" t="n">
        <v>78</v>
      </c>
      <c r="H253" s="11" t="s">
        <v>52</v>
      </c>
      <c r="I253" s="11" t="s">
        <v>241</v>
      </c>
    </row>
    <row r="254" customFormat="false" ht="15" hidden="false" customHeight="true" outlineLevel="0" collapsed="false">
      <c r="A254" s="10" t="n">
        <v>20.2</v>
      </c>
      <c r="B254" s="11" t="n">
        <v>8</v>
      </c>
      <c r="C254" s="10" t="n">
        <v>302</v>
      </c>
      <c r="D254" s="10" t="n">
        <v>139</v>
      </c>
      <c r="E254" s="10" t="n">
        <v>3570</v>
      </c>
      <c r="F254" s="10" t="n">
        <v>12.8</v>
      </c>
      <c r="G254" s="11" t="n">
        <v>78</v>
      </c>
      <c r="H254" s="11" t="s">
        <v>52</v>
      </c>
      <c r="I254" s="11" t="s">
        <v>242</v>
      </c>
    </row>
    <row r="255" customFormat="false" ht="15" hidden="false" customHeight="true" outlineLevel="0" collapsed="false">
      <c r="A255" s="10" t="n">
        <v>19.2</v>
      </c>
      <c r="B255" s="11" t="n">
        <v>6</v>
      </c>
      <c r="C255" s="10" t="n">
        <v>231</v>
      </c>
      <c r="D255" s="10" t="n">
        <v>105</v>
      </c>
      <c r="E255" s="10" t="n">
        <v>3535</v>
      </c>
      <c r="F255" s="10" t="n">
        <v>19.2</v>
      </c>
      <c r="G255" s="11" t="n">
        <v>78</v>
      </c>
      <c r="H255" s="11" t="s">
        <v>52</v>
      </c>
      <c r="I255" s="11" t="s">
        <v>243</v>
      </c>
    </row>
    <row r="256" customFormat="false" ht="15" hidden="false" customHeight="true" outlineLevel="0" collapsed="false">
      <c r="A256" s="10" t="n">
        <v>20.5</v>
      </c>
      <c r="B256" s="11" t="n">
        <v>6</v>
      </c>
      <c r="C256" s="10" t="n">
        <v>200</v>
      </c>
      <c r="D256" s="10" t="n">
        <v>95</v>
      </c>
      <c r="E256" s="10" t="n">
        <v>3155</v>
      </c>
      <c r="F256" s="10" t="n">
        <v>18.2</v>
      </c>
      <c r="G256" s="11" t="n">
        <v>78</v>
      </c>
      <c r="H256" s="11" t="s">
        <v>52</v>
      </c>
      <c r="I256" s="11" t="s">
        <v>131</v>
      </c>
    </row>
    <row r="257" customFormat="false" ht="15" hidden="false" customHeight="true" outlineLevel="0" collapsed="false">
      <c r="A257" s="10" t="n">
        <v>20.2</v>
      </c>
      <c r="B257" s="11" t="n">
        <v>6</v>
      </c>
      <c r="C257" s="10" t="n">
        <v>200</v>
      </c>
      <c r="D257" s="10" t="n">
        <v>85</v>
      </c>
      <c r="E257" s="10" t="n">
        <v>2965</v>
      </c>
      <c r="F257" s="10" t="n">
        <v>15.8</v>
      </c>
      <c r="G257" s="11" t="n">
        <v>78</v>
      </c>
      <c r="H257" s="11" t="s">
        <v>52</v>
      </c>
      <c r="I257" s="11" t="s">
        <v>244</v>
      </c>
    </row>
    <row r="258" customFormat="false" ht="15" hidden="false" customHeight="true" outlineLevel="0" collapsed="false">
      <c r="A258" s="10" t="n">
        <v>25.1</v>
      </c>
      <c r="B258" s="11" t="n">
        <v>4</v>
      </c>
      <c r="C258" s="10" t="n">
        <v>140</v>
      </c>
      <c r="D258" s="10" t="n">
        <v>88</v>
      </c>
      <c r="E258" s="10" t="n">
        <v>2720</v>
      </c>
      <c r="F258" s="10" t="n">
        <v>15.4</v>
      </c>
      <c r="G258" s="11" t="n">
        <v>78</v>
      </c>
      <c r="H258" s="11" t="s">
        <v>52</v>
      </c>
      <c r="I258" s="11" t="s">
        <v>245</v>
      </c>
    </row>
    <row r="259" customFormat="false" ht="15" hidden="false" customHeight="true" outlineLevel="0" collapsed="false">
      <c r="A259" s="10" t="n">
        <v>20.5</v>
      </c>
      <c r="B259" s="11" t="n">
        <v>6</v>
      </c>
      <c r="C259" s="10" t="n">
        <v>225</v>
      </c>
      <c r="D259" s="10" t="n">
        <v>100</v>
      </c>
      <c r="E259" s="10" t="n">
        <v>3430</v>
      </c>
      <c r="F259" s="10" t="n">
        <v>17.2</v>
      </c>
      <c r="G259" s="11" t="n">
        <v>78</v>
      </c>
      <c r="H259" s="11" t="s">
        <v>52</v>
      </c>
      <c r="I259" s="11" t="s">
        <v>246</v>
      </c>
    </row>
    <row r="260" customFormat="false" ht="15" hidden="false" customHeight="true" outlineLevel="0" collapsed="false">
      <c r="A260" s="10" t="n">
        <v>19.4</v>
      </c>
      <c r="B260" s="11" t="n">
        <v>6</v>
      </c>
      <c r="C260" s="10" t="n">
        <v>232</v>
      </c>
      <c r="D260" s="10" t="n">
        <v>90</v>
      </c>
      <c r="E260" s="10" t="n">
        <v>3210</v>
      </c>
      <c r="F260" s="10" t="n">
        <v>17.2</v>
      </c>
      <c r="G260" s="11" t="n">
        <v>78</v>
      </c>
      <c r="H260" s="11" t="s">
        <v>52</v>
      </c>
      <c r="I260" s="11" t="s">
        <v>247</v>
      </c>
    </row>
    <row r="261" customFormat="false" ht="15" hidden="false" customHeight="true" outlineLevel="0" collapsed="false">
      <c r="A261" s="10" t="n">
        <v>20.6</v>
      </c>
      <c r="B261" s="11" t="n">
        <v>6</v>
      </c>
      <c r="C261" s="10" t="n">
        <v>231</v>
      </c>
      <c r="D261" s="10" t="n">
        <v>105</v>
      </c>
      <c r="E261" s="10" t="n">
        <v>3380</v>
      </c>
      <c r="F261" s="10" t="n">
        <v>15.8</v>
      </c>
      <c r="G261" s="11" t="n">
        <v>78</v>
      </c>
      <c r="H261" s="11" t="s">
        <v>52</v>
      </c>
      <c r="I261" s="11" t="s">
        <v>248</v>
      </c>
    </row>
    <row r="262" customFormat="false" ht="15" hidden="false" customHeight="true" outlineLevel="0" collapsed="false">
      <c r="A262" s="10" t="n">
        <v>20.8</v>
      </c>
      <c r="B262" s="11" t="n">
        <v>6</v>
      </c>
      <c r="C262" s="10" t="n">
        <v>200</v>
      </c>
      <c r="D262" s="10" t="n">
        <v>85</v>
      </c>
      <c r="E262" s="10" t="n">
        <v>3070</v>
      </c>
      <c r="F262" s="10" t="n">
        <v>16.7</v>
      </c>
      <c r="G262" s="11" t="n">
        <v>78</v>
      </c>
      <c r="H262" s="11" t="s">
        <v>52</v>
      </c>
      <c r="I262" s="11" t="s">
        <v>249</v>
      </c>
    </row>
    <row r="263" customFormat="false" ht="15" hidden="false" customHeight="true" outlineLevel="0" collapsed="false">
      <c r="A263" s="10" t="n">
        <v>18.6</v>
      </c>
      <c r="B263" s="11" t="n">
        <v>6</v>
      </c>
      <c r="C263" s="10" t="n">
        <v>225</v>
      </c>
      <c r="D263" s="10" t="n">
        <v>110</v>
      </c>
      <c r="E263" s="10" t="n">
        <v>3620</v>
      </c>
      <c r="F263" s="10" t="n">
        <v>18.7</v>
      </c>
      <c r="G263" s="11" t="n">
        <v>78</v>
      </c>
      <c r="H263" s="11" t="s">
        <v>52</v>
      </c>
      <c r="I263" s="11" t="s">
        <v>250</v>
      </c>
    </row>
    <row r="264" customFormat="false" ht="15" hidden="false" customHeight="true" outlineLevel="0" collapsed="false">
      <c r="A264" s="10" t="n">
        <v>18.1</v>
      </c>
      <c r="B264" s="11" t="n">
        <v>6</v>
      </c>
      <c r="C264" s="10" t="n">
        <v>258</v>
      </c>
      <c r="D264" s="10" t="n">
        <v>120</v>
      </c>
      <c r="E264" s="10" t="n">
        <v>3410</v>
      </c>
      <c r="F264" s="10" t="n">
        <v>15.1</v>
      </c>
      <c r="G264" s="11" t="n">
        <v>78</v>
      </c>
      <c r="H264" s="11" t="s">
        <v>52</v>
      </c>
      <c r="I264" s="11" t="s">
        <v>251</v>
      </c>
    </row>
    <row r="265" customFormat="false" ht="15" hidden="false" customHeight="true" outlineLevel="0" collapsed="false">
      <c r="A265" s="10" t="n">
        <v>19.2</v>
      </c>
      <c r="B265" s="11" t="n">
        <v>8</v>
      </c>
      <c r="C265" s="10" t="n">
        <v>305</v>
      </c>
      <c r="D265" s="10" t="n">
        <v>145</v>
      </c>
      <c r="E265" s="10" t="n">
        <v>3425</v>
      </c>
      <c r="F265" s="10" t="n">
        <v>13.2</v>
      </c>
      <c r="G265" s="11" t="n">
        <v>78</v>
      </c>
      <c r="H265" s="11" t="s">
        <v>52</v>
      </c>
      <c r="I265" s="11" t="s">
        <v>224</v>
      </c>
    </row>
    <row r="266" customFormat="false" ht="15" hidden="false" customHeight="true" outlineLevel="0" collapsed="false">
      <c r="A266" s="10" t="n">
        <v>17.7</v>
      </c>
      <c r="B266" s="11" t="n">
        <v>6</v>
      </c>
      <c r="C266" s="10" t="n">
        <v>231</v>
      </c>
      <c r="D266" s="10" t="n">
        <v>165</v>
      </c>
      <c r="E266" s="10" t="n">
        <v>3445</v>
      </c>
      <c r="F266" s="10" t="n">
        <v>13.4</v>
      </c>
      <c r="G266" s="11" t="n">
        <v>78</v>
      </c>
      <c r="H266" s="11" t="s">
        <v>52</v>
      </c>
      <c r="I266" s="11" t="s">
        <v>252</v>
      </c>
    </row>
    <row r="267" customFormat="false" ht="15" hidden="false" customHeight="true" outlineLevel="0" collapsed="false">
      <c r="A267" s="10" t="n">
        <v>18.1</v>
      </c>
      <c r="B267" s="11" t="n">
        <v>8</v>
      </c>
      <c r="C267" s="10" t="n">
        <v>302</v>
      </c>
      <c r="D267" s="10" t="n">
        <v>139</v>
      </c>
      <c r="E267" s="10" t="n">
        <v>3205</v>
      </c>
      <c r="F267" s="10" t="n">
        <v>11.2</v>
      </c>
      <c r="G267" s="11" t="n">
        <v>78</v>
      </c>
      <c r="H267" s="11" t="s">
        <v>52</v>
      </c>
      <c r="I267" s="11" t="s">
        <v>253</v>
      </c>
    </row>
    <row r="268" customFormat="false" ht="15" hidden="false" customHeight="true" outlineLevel="0" collapsed="false">
      <c r="A268" s="10" t="n">
        <v>17.5</v>
      </c>
      <c r="B268" s="11" t="n">
        <v>8</v>
      </c>
      <c r="C268" s="10" t="n">
        <v>318</v>
      </c>
      <c r="D268" s="10" t="n">
        <v>140</v>
      </c>
      <c r="E268" s="10" t="n">
        <v>4080</v>
      </c>
      <c r="F268" s="10" t="n">
        <v>13.7</v>
      </c>
      <c r="G268" s="11" t="n">
        <v>78</v>
      </c>
      <c r="H268" s="11" t="s">
        <v>52</v>
      </c>
      <c r="I268" s="11" t="s">
        <v>254</v>
      </c>
    </row>
    <row r="269" customFormat="false" ht="15" hidden="false" customHeight="true" outlineLevel="0" collapsed="false">
      <c r="A269" s="10" t="n">
        <v>30</v>
      </c>
      <c r="B269" s="11" t="n">
        <v>4</v>
      </c>
      <c r="C269" s="10" t="n">
        <v>98</v>
      </c>
      <c r="D269" s="10" t="n">
        <v>68</v>
      </c>
      <c r="E269" s="10" t="n">
        <v>2155</v>
      </c>
      <c r="F269" s="10" t="n">
        <v>16.5</v>
      </c>
      <c r="G269" s="11" t="n">
        <v>78</v>
      </c>
      <c r="H269" s="11" t="s">
        <v>52</v>
      </c>
      <c r="I269" s="11" t="s">
        <v>196</v>
      </c>
    </row>
    <row r="270" customFormat="false" ht="15" hidden="false" customHeight="true" outlineLevel="0" collapsed="false">
      <c r="A270" s="10" t="n">
        <v>27.5</v>
      </c>
      <c r="B270" s="11" t="n">
        <v>4</v>
      </c>
      <c r="C270" s="10" t="n">
        <v>134</v>
      </c>
      <c r="D270" s="10" t="n">
        <v>95</v>
      </c>
      <c r="E270" s="10" t="n">
        <v>2560</v>
      </c>
      <c r="F270" s="10" t="n">
        <v>14.2</v>
      </c>
      <c r="G270" s="11" t="n">
        <v>78</v>
      </c>
      <c r="H270" s="11" t="s">
        <v>67</v>
      </c>
      <c r="I270" s="11" t="s">
        <v>85</v>
      </c>
    </row>
    <row r="271" customFormat="false" ht="15" hidden="false" customHeight="true" outlineLevel="0" collapsed="false">
      <c r="A271" s="10" t="n">
        <v>27.2</v>
      </c>
      <c r="B271" s="11" t="n">
        <v>4</v>
      </c>
      <c r="C271" s="10" t="n">
        <v>119</v>
      </c>
      <c r="D271" s="10" t="n">
        <v>97</v>
      </c>
      <c r="E271" s="10" t="n">
        <v>2300</v>
      </c>
      <c r="F271" s="10" t="n">
        <v>14.7</v>
      </c>
      <c r="G271" s="11" t="n">
        <v>78</v>
      </c>
      <c r="H271" s="11" t="s">
        <v>67</v>
      </c>
      <c r="I271" s="11" t="s">
        <v>255</v>
      </c>
    </row>
    <row r="272" customFormat="false" ht="15" hidden="false" customHeight="true" outlineLevel="0" collapsed="false">
      <c r="A272" s="10" t="n">
        <v>30.9</v>
      </c>
      <c r="B272" s="11" t="n">
        <v>4</v>
      </c>
      <c r="C272" s="10" t="n">
        <v>105</v>
      </c>
      <c r="D272" s="10" t="n">
        <v>75</v>
      </c>
      <c r="E272" s="10" t="n">
        <v>2230</v>
      </c>
      <c r="F272" s="10" t="n">
        <v>14.5</v>
      </c>
      <c r="G272" s="11" t="n">
        <v>78</v>
      </c>
      <c r="H272" s="11" t="s">
        <v>52</v>
      </c>
      <c r="I272" s="11" t="s">
        <v>256</v>
      </c>
    </row>
    <row r="273" customFormat="false" ht="15" hidden="false" customHeight="true" outlineLevel="0" collapsed="false">
      <c r="A273" s="10" t="n">
        <v>21.1</v>
      </c>
      <c r="B273" s="11" t="n">
        <v>4</v>
      </c>
      <c r="C273" s="10" t="n">
        <v>134</v>
      </c>
      <c r="D273" s="10" t="n">
        <v>95</v>
      </c>
      <c r="E273" s="10" t="n">
        <v>2515</v>
      </c>
      <c r="F273" s="10" t="n">
        <v>14.8</v>
      </c>
      <c r="G273" s="11" t="n">
        <v>78</v>
      </c>
      <c r="H273" s="11" t="s">
        <v>67</v>
      </c>
      <c r="I273" s="11" t="s">
        <v>257</v>
      </c>
    </row>
    <row r="274" customFormat="false" ht="15" hidden="false" customHeight="true" outlineLevel="0" collapsed="false">
      <c r="A274" s="10" t="n">
        <v>23.2</v>
      </c>
      <c r="B274" s="11" t="n">
        <v>4</v>
      </c>
      <c r="C274" s="10" t="n">
        <v>156</v>
      </c>
      <c r="D274" s="10" t="n">
        <v>105</v>
      </c>
      <c r="E274" s="10" t="n">
        <v>2745</v>
      </c>
      <c r="F274" s="10" t="n">
        <v>16.7</v>
      </c>
      <c r="G274" s="11" t="n">
        <v>78</v>
      </c>
      <c r="H274" s="11" t="s">
        <v>52</v>
      </c>
      <c r="I274" s="11" t="s">
        <v>258</v>
      </c>
    </row>
    <row r="275" customFormat="false" ht="15" hidden="false" customHeight="true" outlineLevel="0" collapsed="false">
      <c r="A275" s="10" t="n">
        <v>23.8</v>
      </c>
      <c r="B275" s="11" t="n">
        <v>4</v>
      </c>
      <c r="C275" s="10" t="n">
        <v>151</v>
      </c>
      <c r="D275" s="10" t="n">
        <v>85</v>
      </c>
      <c r="E275" s="10" t="n">
        <v>2855</v>
      </c>
      <c r="F275" s="10" t="n">
        <v>17.6</v>
      </c>
      <c r="G275" s="11" t="n">
        <v>78</v>
      </c>
      <c r="H275" s="11" t="s">
        <v>52</v>
      </c>
      <c r="I275" s="11" t="s">
        <v>259</v>
      </c>
    </row>
    <row r="276" customFormat="false" ht="15" hidden="false" customHeight="true" outlineLevel="0" collapsed="false">
      <c r="A276" s="10" t="n">
        <v>23.9</v>
      </c>
      <c r="B276" s="11" t="n">
        <v>4</v>
      </c>
      <c r="C276" s="10" t="n">
        <v>119</v>
      </c>
      <c r="D276" s="10" t="n">
        <v>97</v>
      </c>
      <c r="E276" s="10" t="n">
        <v>2405</v>
      </c>
      <c r="F276" s="10" t="n">
        <v>14.9</v>
      </c>
      <c r="G276" s="11" t="n">
        <v>78</v>
      </c>
      <c r="H276" s="11" t="s">
        <v>67</v>
      </c>
      <c r="I276" s="11" t="s">
        <v>260</v>
      </c>
    </row>
    <row r="277" customFormat="false" ht="15" hidden="false" customHeight="true" outlineLevel="0" collapsed="false">
      <c r="A277" s="10" t="n">
        <v>20.3</v>
      </c>
      <c r="B277" s="11" t="n">
        <v>5</v>
      </c>
      <c r="C277" s="10" t="n">
        <v>131</v>
      </c>
      <c r="D277" s="10" t="n">
        <v>103</v>
      </c>
      <c r="E277" s="10" t="n">
        <v>2830</v>
      </c>
      <c r="F277" s="10" t="n">
        <v>15.9</v>
      </c>
      <c r="G277" s="11" t="n">
        <v>78</v>
      </c>
      <c r="H277" s="11" t="s">
        <v>73</v>
      </c>
      <c r="I277" s="11" t="s">
        <v>261</v>
      </c>
    </row>
    <row r="278" customFormat="false" ht="15" hidden="false" customHeight="true" outlineLevel="0" collapsed="false">
      <c r="A278" s="10" t="n">
        <v>17</v>
      </c>
      <c r="B278" s="11" t="n">
        <v>6</v>
      </c>
      <c r="C278" s="10" t="n">
        <v>163</v>
      </c>
      <c r="D278" s="10" t="n">
        <v>125</v>
      </c>
      <c r="E278" s="10" t="n">
        <v>3140</v>
      </c>
      <c r="F278" s="10" t="n">
        <v>13.6</v>
      </c>
      <c r="G278" s="11" t="n">
        <v>78</v>
      </c>
      <c r="H278" s="11" t="s">
        <v>73</v>
      </c>
      <c r="I278" s="11" t="s">
        <v>262</v>
      </c>
    </row>
    <row r="279" customFormat="false" ht="15" hidden="false" customHeight="true" outlineLevel="0" collapsed="false">
      <c r="A279" s="10" t="n">
        <v>21.6</v>
      </c>
      <c r="B279" s="11" t="n">
        <v>4</v>
      </c>
      <c r="C279" s="10" t="n">
        <v>121</v>
      </c>
      <c r="D279" s="10" t="n">
        <v>115</v>
      </c>
      <c r="E279" s="10" t="n">
        <v>2795</v>
      </c>
      <c r="F279" s="10" t="n">
        <v>15.7</v>
      </c>
      <c r="G279" s="11" t="n">
        <v>78</v>
      </c>
      <c r="H279" s="11" t="s">
        <v>73</v>
      </c>
      <c r="I279" s="11" t="s">
        <v>263</v>
      </c>
    </row>
    <row r="280" customFormat="false" ht="15" hidden="false" customHeight="true" outlineLevel="0" collapsed="false">
      <c r="A280" s="10" t="n">
        <v>16.2</v>
      </c>
      <c r="B280" s="11" t="n">
        <v>6</v>
      </c>
      <c r="C280" s="10" t="n">
        <v>163</v>
      </c>
      <c r="D280" s="10" t="n">
        <v>133</v>
      </c>
      <c r="E280" s="10" t="n">
        <v>3410</v>
      </c>
      <c r="F280" s="10" t="n">
        <v>15.8</v>
      </c>
      <c r="G280" s="11" t="n">
        <v>78</v>
      </c>
      <c r="H280" s="11" t="s">
        <v>73</v>
      </c>
      <c r="I280" s="11" t="s">
        <v>264</v>
      </c>
    </row>
    <row r="281" customFormat="false" ht="15" hidden="false" customHeight="true" outlineLevel="0" collapsed="false">
      <c r="A281" s="10" t="n">
        <v>31.5</v>
      </c>
      <c r="B281" s="11" t="n">
        <v>4</v>
      </c>
      <c r="C281" s="10" t="n">
        <v>89</v>
      </c>
      <c r="D281" s="10" t="n">
        <v>71</v>
      </c>
      <c r="E281" s="10" t="n">
        <v>1990</v>
      </c>
      <c r="F281" s="10" t="n">
        <v>14.9</v>
      </c>
      <c r="G281" s="11" t="n">
        <v>78</v>
      </c>
      <c r="H281" s="11" t="s">
        <v>73</v>
      </c>
      <c r="I281" s="11" t="s">
        <v>265</v>
      </c>
    </row>
    <row r="282" customFormat="false" ht="15" hidden="false" customHeight="true" outlineLevel="0" collapsed="false">
      <c r="A282" s="10" t="n">
        <v>29.5</v>
      </c>
      <c r="B282" s="11" t="n">
        <v>4</v>
      </c>
      <c r="C282" s="10" t="n">
        <v>98</v>
      </c>
      <c r="D282" s="10" t="n">
        <v>68</v>
      </c>
      <c r="E282" s="10" t="n">
        <v>2135</v>
      </c>
      <c r="F282" s="10" t="n">
        <v>16.6</v>
      </c>
      <c r="G282" s="11" t="n">
        <v>78</v>
      </c>
      <c r="H282" s="11" t="s">
        <v>67</v>
      </c>
      <c r="I282" s="11" t="s">
        <v>266</v>
      </c>
    </row>
    <row r="283" customFormat="false" ht="15" hidden="false" customHeight="true" outlineLevel="0" collapsed="false">
      <c r="A283" s="10" t="n">
        <v>21.5</v>
      </c>
      <c r="B283" s="11" t="n">
        <v>6</v>
      </c>
      <c r="C283" s="10" t="n">
        <v>231</v>
      </c>
      <c r="D283" s="10" t="n">
        <v>115</v>
      </c>
      <c r="E283" s="10" t="n">
        <v>3245</v>
      </c>
      <c r="F283" s="10" t="n">
        <v>15.4</v>
      </c>
      <c r="G283" s="11" t="n">
        <v>79</v>
      </c>
      <c r="H283" s="11" t="s">
        <v>52</v>
      </c>
      <c r="I283" s="11" t="s">
        <v>267</v>
      </c>
    </row>
    <row r="284" customFormat="false" ht="15" hidden="false" customHeight="true" outlineLevel="0" collapsed="false">
      <c r="A284" s="10" t="n">
        <v>19.8</v>
      </c>
      <c r="B284" s="11" t="n">
        <v>6</v>
      </c>
      <c r="C284" s="10" t="n">
        <v>200</v>
      </c>
      <c r="D284" s="10" t="n">
        <v>85</v>
      </c>
      <c r="E284" s="10" t="n">
        <v>2990</v>
      </c>
      <c r="F284" s="10" t="n">
        <v>18.2</v>
      </c>
      <c r="G284" s="11" t="n">
        <v>79</v>
      </c>
      <c r="H284" s="11" t="s">
        <v>52</v>
      </c>
      <c r="I284" s="11" t="s">
        <v>268</v>
      </c>
    </row>
    <row r="285" customFormat="false" ht="15" hidden="false" customHeight="true" outlineLevel="0" collapsed="false">
      <c r="A285" s="10" t="n">
        <v>22.3</v>
      </c>
      <c r="B285" s="11" t="n">
        <v>4</v>
      </c>
      <c r="C285" s="10" t="n">
        <v>140</v>
      </c>
      <c r="D285" s="10" t="n">
        <v>88</v>
      </c>
      <c r="E285" s="10" t="n">
        <v>2890</v>
      </c>
      <c r="F285" s="10" t="n">
        <v>17.3</v>
      </c>
      <c r="G285" s="11" t="n">
        <v>79</v>
      </c>
      <c r="H285" s="11" t="s">
        <v>52</v>
      </c>
      <c r="I285" s="11" t="s">
        <v>269</v>
      </c>
    </row>
    <row r="286" customFormat="false" ht="15" hidden="false" customHeight="true" outlineLevel="0" collapsed="false">
      <c r="A286" s="10" t="n">
        <v>20.2</v>
      </c>
      <c r="B286" s="11" t="n">
        <v>6</v>
      </c>
      <c r="C286" s="10" t="n">
        <v>232</v>
      </c>
      <c r="D286" s="10" t="n">
        <v>90</v>
      </c>
      <c r="E286" s="10" t="n">
        <v>3265</v>
      </c>
      <c r="F286" s="10" t="n">
        <v>18.2</v>
      </c>
      <c r="G286" s="11" t="n">
        <v>79</v>
      </c>
      <c r="H286" s="11" t="s">
        <v>52</v>
      </c>
      <c r="I286" s="11" t="s">
        <v>270</v>
      </c>
    </row>
    <row r="287" customFormat="false" ht="15" hidden="false" customHeight="true" outlineLevel="0" collapsed="false">
      <c r="A287" s="10" t="n">
        <v>20.6</v>
      </c>
      <c r="B287" s="11" t="n">
        <v>6</v>
      </c>
      <c r="C287" s="10" t="n">
        <v>225</v>
      </c>
      <c r="D287" s="10" t="n">
        <v>110</v>
      </c>
      <c r="E287" s="10" t="n">
        <v>3360</v>
      </c>
      <c r="F287" s="10" t="n">
        <v>16.6</v>
      </c>
      <c r="G287" s="11" t="n">
        <v>79</v>
      </c>
      <c r="H287" s="11" t="s">
        <v>52</v>
      </c>
      <c r="I287" s="11" t="s">
        <v>271</v>
      </c>
    </row>
    <row r="288" customFormat="false" ht="15" hidden="false" customHeight="true" outlineLevel="0" collapsed="false">
      <c r="A288" s="10" t="n">
        <v>17</v>
      </c>
      <c r="B288" s="11" t="n">
        <v>8</v>
      </c>
      <c r="C288" s="10" t="n">
        <v>305</v>
      </c>
      <c r="D288" s="10" t="n">
        <v>130</v>
      </c>
      <c r="E288" s="10" t="n">
        <v>3840</v>
      </c>
      <c r="F288" s="10" t="n">
        <v>15.4</v>
      </c>
      <c r="G288" s="11" t="n">
        <v>79</v>
      </c>
      <c r="H288" s="11" t="s">
        <v>52</v>
      </c>
      <c r="I288" s="11" t="s">
        <v>135</v>
      </c>
    </row>
    <row r="289" customFormat="false" ht="15" hidden="false" customHeight="true" outlineLevel="0" collapsed="false">
      <c r="A289" s="10" t="n">
        <v>17.6</v>
      </c>
      <c r="B289" s="11" t="n">
        <v>8</v>
      </c>
      <c r="C289" s="10" t="n">
        <v>302</v>
      </c>
      <c r="D289" s="10" t="n">
        <v>129</v>
      </c>
      <c r="E289" s="10" t="n">
        <v>3725</v>
      </c>
      <c r="F289" s="10" t="n">
        <v>13.4</v>
      </c>
      <c r="G289" s="11" t="n">
        <v>79</v>
      </c>
      <c r="H289" s="11" t="s">
        <v>52</v>
      </c>
      <c r="I289" s="11" t="s">
        <v>272</v>
      </c>
    </row>
    <row r="290" customFormat="false" ht="15" hidden="false" customHeight="true" outlineLevel="0" collapsed="false">
      <c r="A290" s="10" t="n">
        <v>16.5</v>
      </c>
      <c r="B290" s="11" t="n">
        <v>8</v>
      </c>
      <c r="C290" s="10" t="n">
        <v>351</v>
      </c>
      <c r="D290" s="10" t="n">
        <v>138</v>
      </c>
      <c r="E290" s="10" t="n">
        <v>3955</v>
      </c>
      <c r="F290" s="10" t="n">
        <v>13.2</v>
      </c>
      <c r="G290" s="11" t="n">
        <v>79</v>
      </c>
      <c r="H290" s="11" t="s">
        <v>52</v>
      </c>
      <c r="I290" s="11" t="s">
        <v>273</v>
      </c>
    </row>
    <row r="291" customFormat="false" ht="15" hidden="false" customHeight="true" outlineLevel="0" collapsed="false">
      <c r="A291" s="10" t="n">
        <v>18.2</v>
      </c>
      <c r="B291" s="11" t="n">
        <v>8</v>
      </c>
      <c r="C291" s="10" t="n">
        <v>318</v>
      </c>
      <c r="D291" s="10" t="n">
        <v>135</v>
      </c>
      <c r="E291" s="10" t="n">
        <v>3830</v>
      </c>
      <c r="F291" s="10" t="n">
        <v>15.2</v>
      </c>
      <c r="G291" s="11" t="n">
        <v>79</v>
      </c>
      <c r="H291" s="11" t="s">
        <v>52</v>
      </c>
      <c r="I291" s="11" t="s">
        <v>274</v>
      </c>
    </row>
    <row r="292" customFormat="false" ht="15" hidden="false" customHeight="true" outlineLevel="0" collapsed="false">
      <c r="A292" s="10" t="n">
        <v>16.9</v>
      </c>
      <c r="B292" s="11" t="n">
        <v>8</v>
      </c>
      <c r="C292" s="10" t="n">
        <v>350</v>
      </c>
      <c r="D292" s="10" t="n">
        <v>155</v>
      </c>
      <c r="E292" s="10" t="n">
        <v>4360</v>
      </c>
      <c r="F292" s="10" t="n">
        <v>14.9</v>
      </c>
      <c r="G292" s="11" t="n">
        <v>79</v>
      </c>
      <c r="H292" s="11" t="s">
        <v>52</v>
      </c>
      <c r="I292" s="11" t="s">
        <v>66</v>
      </c>
    </row>
    <row r="293" customFormat="false" ht="15" hidden="false" customHeight="true" outlineLevel="0" collapsed="false">
      <c r="A293" s="10" t="n">
        <v>15.5</v>
      </c>
      <c r="B293" s="11" t="n">
        <v>8</v>
      </c>
      <c r="C293" s="10" t="n">
        <v>351</v>
      </c>
      <c r="D293" s="10" t="n">
        <v>142</v>
      </c>
      <c r="E293" s="10" t="n">
        <v>4054</v>
      </c>
      <c r="F293" s="10" t="n">
        <v>14.3</v>
      </c>
      <c r="G293" s="11" t="n">
        <v>79</v>
      </c>
      <c r="H293" s="11" t="s">
        <v>52</v>
      </c>
      <c r="I293" s="11" t="s">
        <v>92</v>
      </c>
    </row>
    <row r="294" customFormat="false" ht="15" hidden="false" customHeight="true" outlineLevel="0" collapsed="false">
      <c r="A294" s="10" t="n">
        <v>19.2</v>
      </c>
      <c r="B294" s="11" t="n">
        <v>8</v>
      </c>
      <c r="C294" s="10" t="n">
        <v>267</v>
      </c>
      <c r="D294" s="10" t="n">
        <v>125</v>
      </c>
      <c r="E294" s="10" t="n">
        <v>3605</v>
      </c>
      <c r="F294" s="10" t="n">
        <v>15</v>
      </c>
      <c r="G294" s="11" t="n">
        <v>79</v>
      </c>
      <c r="H294" s="11" t="s">
        <v>52</v>
      </c>
      <c r="I294" s="11" t="s">
        <v>275</v>
      </c>
    </row>
    <row r="295" customFormat="false" ht="15" hidden="false" customHeight="true" outlineLevel="0" collapsed="false">
      <c r="A295" s="10" t="n">
        <v>18.5</v>
      </c>
      <c r="B295" s="11" t="n">
        <v>8</v>
      </c>
      <c r="C295" s="10" t="n">
        <v>360</v>
      </c>
      <c r="D295" s="10" t="n">
        <v>150</v>
      </c>
      <c r="E295" s="10" t="n">
        <v>3940</v>
      </c>
      <c r="F295" s="10" t="n">
        <v>13</v>
      </c>
      <c r="G295" s="11" t="n">
        <v>79</v>
      </c>
      <c r="H295" s="11" t="s">
        <v>52</v>
      </c>
      <c r="I295" s="11" t="s">
        <v>276</v>
      </c>
    </row>
    <row r="296" customFormat="false" ht="15" hidden="false" customHeight="true" outlineLevel="0" collapsed="false">
      <c r="A296" s="10" t="n">
        <v>31.9</v>
      </c>
      <c r="B296" s="11" t="n">
        <v>4</v>
      </c>
      <c r="C296" s="10" t="n">
        <v>89</v>
      </c>
      <c r="D296" s="10" t="n">
        <v>71</v>
      </c>
      <c r="E296" s="10" t="n">
        <v>1925</v>
      </c>
      <c r="F296" s="10" t="n">
        <v>14</v>
      </c>
      <c r="G296" s="11" t="n">
        <v>79</v>
      </c>
      <c r="H296" s="11" t="s">
        <v>73</v>
      </c>
      <c r="I296" s="11" t="s">
        <v>277</v>
      </c>
    </row>
    <row r="297" customFormat="false" ht="15" hidden="false" customHeight="true" outlineLevel="0" collapsed="false">
      <c r="A297" s="10" t="n">
        <v>34.1</v>
      </c>
      <c r="B297" s="11" t="n">
        <v>4</v>
      </c>
      <c r="C297" s="10" t="n">
        <v>86</v>
      </c>
      <c r="D297" s="10" t="n">
        <v>65</v>
      </c>
      <c r="E297" s="10" t="n">
        <v>1975</v>
      </c>
      <c r="F297" s="10" t="n">
        <v>15.2</v>
      </c>
      <c r="G297" s="11" t="n">
        <v>79</v>
      </c>
      <c r="H297" s="11" t="s">
        <v>67</v>
      </c>
      <c r="I297" s="11" t="s">
        <v>278</v>
      </c>
    </row>
    <row r="298" customFormat="false" ht="15" hidden="false" customHeight="true" outlineLevel="0" collapsed="false">
      <c r="A298" s="10" t="n">
        <v>35.7</v>
      </c>
      <c r="B298" s="11" t="n">
        <v>4</v>
      </c>
      <c r="C298" s="10" t="n">
        <v>98</v>
      </c>
      <c r="D298" s="10" t="n">
        <v>80</v>
      </c>
      <c r="E298" s="10" t="n">
        <v>1915</v>
      </c>
      <c r="F298" s="10" t="n">
        <v>14.4</v>
      </c>
      <c r="G298" s="11" t="n">
        <v>79</v>
      </c>
      <c r="H298" s="11" t="s">
        <v>52</v>
      </c>
      <c r="I298" s="11" t="s">
        <v>279</v>
      </c>
    </row>
    <row r="299" customFormat="false" ht="15" hidden="false" customHeight="true" outlineLevel="0" collapsed="false">
      <c r="A299" s="10" t="n">
        <v>27.4</v>
      </c>
      <c r="B299" s="11" t="n">
        <v>4</v>
      </c>
      <c r="C299" s="10" t="n">
        <v>121</v>
      </c>
      <c r="D299" s="10" t="n">
        <v>80</v>
      </c>
      <c r="E299" s="10" t="n">
        <v>2670</v>
      </c>
      <c r="F299" s="10" t="n">
        <v>15</v>
      </c>
      <c r="G299" s="11" t="n">
        <v>79</v>
      </c>
      <c r="H299" s="11" t="s">
        <v>52</v>
      </c>
      <c r="I299" s="11" t="s">
        <v>280</v>
      </c>
    </row>
    <row r="300" customFormat="false" ht="15" hidden="false" customHeight="true" outlineLevel="0" collapsed="false">
      <c r="A300" s="10" t="n">
        <v>25.4</v>
      </c>
      <c r="B300" s="11" t="n">
        <v>5</v>
      </c>
      <c r="C300" s="10" t="n">
        <v>183</v>
      </c>
      <c r="D300" s="10" t="n">
        <v>77</v>
      </c>
      <c r="E300" s="10" t="n">
        <v>3530</v>
      </c>
      <c r="F300" s="10" t="n">
        <v>20.1</v>
      </c>
      <c r="G300" s="11" t="n">
        <v>79</v>
      </c>
      <c r="H300" s="11" t="s">
        <v>73</v>
      </c>
      <c r="I300" s="11" t="s">
        <v>281</v>
      </c>
    </row>
    <row r="301" customFormat="false" ht="15" hidden="false" customHeight="true" outlineLevel="0" collapsed="false">
      <c r="A301" s="10" t="n">
        <v>23</v>
      </c>
      <c r="B301" s="11" t="n">
        <v>8</v>
      </c>
      <c r="C301" s="10" t="n">
        <v>350</v>
      </c>
      <c r="D301" s="10" t="n">
        <v>125</v>
      </c>
      <c r="E301" s="10" t="n">
        <v>3900</v>
      </c>
      <c r="F301" s="10" t="n">
        <v>17.4</v>
      </c>
      <c r="G301" s="11" t="n">
        <v>79</v>
      </c>
      <c r="H301" s="11" t="s">
        <v>52</v>
      </c>
      <c r="I301" s="11" t="s">
        <v>282</v>
      </c>
    </row>
    <row r="302" customFormat="false" ht="15" hidden="false" customHeight="true" outlineLevel="0" collapsed="false">
      <c r="A302" s="10" t="n">
        <v>27.2</v>
      </c>
      <c r="B302" s="11" t="n">
        <v>4</v>
      </c>
      <c r="C302" s="10" t="n">
        <v>141</v>
      </c>
      <c r="D302" s="10" t="n">
        <v>71</v>
      </c>
      <c r="E302" s="10" t="n">
        <v>3190</v>
      </c>
      <c r="F302" s="10" t="n">
        <v>24.8</v>
      </c>
      <c r="G302" s="11" t="n">
        <v>79</v>
      </c>
      <c r="H302" s="11" t="s">
        <v>73</v>
      </c>
      <c r="I302" s="11" t="s">
        <v>75</v>
      </c>
    </row>
    <row r="303" customFormat="false" ht="15" hidden="false" customHeight="true" outlineLevel="0" collapsed="false">
      <c r="A303" s="10" t="n">
        <v>23.9</v>
      </c>
      <c r="B303" s="11" t="n">
        <v>8</v>
      </c>
      <c r="C303" s="10" t="n">
        <v>260</v>
      </c>
      <c r="D303" s="10" t="n">
        <v>90</v>
      </c>
      <c r="E303" s="10" t="n">
        <v>3420</v>
      </c>
      <c r="F303" s="10" t="n">
        <v>22.2</v>
      </c>
      <c r="G303" s="11" t="n">
        <v>79</v>
      </c>
      <c r="H303" s="11" t="s">
        <v>52</v>
      </c>
      <c r="I303" s="11" t="s">
        <v>240</v>
      </c>
    </row>
    <row r="304" customFormat="false" ht="15" hidden="false" customHeight="true" outlineLevel="0" collapsed="false">
      <c r="A304" s="10" t="n">
        <v>34.2</v>
      </c>
      <c r="B304" s="11" t="n">
        <v>4</v>
      </c>
      <c r="C304" s="10" t="n">
        <v>105</v>
      </c>
      <c r="D304" s="10" t="n">
        <v>70</v>
      </c>
      <c r="E304" s="10" t="n">
        <v>2200</v>
      </c>
      <c r="F304" s="10" t="n">
        <v>13.2</v>
      </c>
      <c r="G304" s="11" t="n">
        <v>79</v>
      </c>
      <c r="H304" s="11" t="s">
        <v>52</v>
      </c>
      <c r="I304" s="11" t="s">
        <v>283</v>
      </c>
    </row>
    <row r="305" customFormat="false" ht="15" hidden="false" customHeight="true" outlineLevel="0" collapsed="false">
      <c r="A305" s="10" t="n">
        <v>34.5</v>
      </c>
      <c r="B305" s="11" t="n">
        <v>4</v>
      </c>
      <c r="C305" s="10" t="n">
        <v>105</v>
      </c>
      <c r="D305" s="10" t="n">
        <v>70</v>
      </c>
      <c r="E305" s="10" t="n">
        <v>2150</v>
      </c>
      <c r="F305" s="10" t="n">
        <v>14.9</v>
      </c>
      <c r="G305" s="11" t="n">
        <v>79</v>
      </c>
      <c r="H305" s="11" t="s">
        <v>52</v>
      </c>
      <c r="I305" s="11" t="s">
        <v>284</v>
      </c>
    </row>
    <row r="306" customFormat="false" ht="15" hidden="false" customHeight="true" outlineLevel="0" collapsed="false">
      <c r="A306" s="10" t="n">
        <v>31.8</v>
      </c>
      <c r="B306" s="11" t="n">
        <v>4</v>
      </c>
      <c r="C306" s="10" t="n">
        <v>85</v>
      </c>
      <c r="D306" s="10" t="n">
        <v>65</v>
      </c>
      <c r="E306" s="10" t="n">
        <v>2020</v>
      </c>
      <c r="F306" s="10" t="n">
        <v>19.2</v>
      </c>
      <c r="G306" s="11" t="n">
        <v>79</v>
      </c>
      <c r="H306" s="11" t="s">
        <v>67</v>
      </c>
      <c r="I306" s="11" t="s">
        <v>285</v>
      </c>
    </row>
    <row r="307" customFormat="false" ht="15" hidden="false" customHeight="true" outlineLevel="0" collapsed="false">
      <c r="A307" s="10" t="n">
        <v>37.3</v>
      </c>
      <c r="B307" s="11" t="n">
        <v>4</v>
      </c>
      <c r="C307" s="10" t="n">
        <v>91</v>
      </c>
      <c r="D307" s="10" t="n">
        <v>69</v>
      </c>
      <c r="E307" s="10" t="n">
        <v>2130</v>
      </c>
      <c r="F307" s="10" t="n">
        <v>14.7</v>
      </c>
      <c r="G307" s="11" t="n">
        <v>79</v>
      </c>
      <c r="H307" s="11" t="s">
        <v>73</v>
      </c>
      <c r="I307" s="11" t="s">
        <v>286</v>
      </c>
    </row>
    <row r="308" customFormat="false" ht="15" hidden="false" customHeight="true" outlineLevel="0" collapsed="false">
      <c r="A308" s="10" t="n">
        <v>28.4</v>
      </c>
      <c r="B308" s="11" t="n">
        <v>4</v>
      </c>
      <c r="C308" s="10" t="n">
        <v>151</v>
      </c>
      <c r="D308" s="10" t="n">
        <v>90</v>
      </c>
      <c r="E308" s="10" t="n">
        <v>2670</v>
      </c>
      <c r="F308" s="10" t="n">
        <v>16</v>
      </c>
      <c r="G308" s="11" t="n">
        <v>79</v>
      </c>
      <c r="H308" s="11" t="s">
        <v>52</v>
      </c>
      <c r="I308" s="11" t="s">
        <v>287</v>
      </c>
    </row>
    <row r="309" customFormat="false" ht="15" hidden="false" customHeight="true" outlineLevel="0" collapsed="false">
      <c r="A309" s="10" t="n">
        <v>28.8</v>
      </c>
      <c r="B309" s="11" t="n">
        <v>6</v>
      </c>
      <c r="C309" s="10" t="n">
        <v>173</v>
      </c>
      <c r="D309" s="10" t="n">
        <v>115</v>
      </c>
      <c r="E309" s="10" t="n">
        <v>2595</v>
      </c>
      <c r="F309" s="10" t="n">
        <v>11.3</v>
      </c>
      <c r="G309" s="11" t="n">
        <v>79</v>
      </c>
      <c r="H309" s="11" t="s">
        <v>52</v>
      </c>
      <c r="I309" s="11" t="s">
        <v>288</v>
      </c>
    </row>
    <row r="310" customFormat="false" ht="15" hidden="false" customHeight="true" outlineLevel="0" collapsed="false">
      <c r="A310" s="10" t="n">
        <v>26.8</v>
      </c>
      <c r="B310" s="11" t="n">
        <v>6</v>
      </c>
      <c r="C310" s="10" t="n">
        <v>173</v>
      </c>
      <c r="D310" s="10" t="n">
        <v>115</v>
      </c>
      <c r="E310" s="10" t="n">
        <v>2700</v>
      </c>
      <c r="F310" s="10" t="n">
        <v>12.9</v>
      </c>
      <c r="G310" s="11" t="n">
        <v>79</v>
      </c>
      <c r="H310" s="11" t="s">
        <v>52</v>
      </c>
      <c r="I310" s="11" t="s">
        <v>289</v>
      </c>
    </row>
    <row r="311" customFormat="false" ht="15" hidden="false" customHeight="true" outlineLevel="0" collapsed="false">
      <c r="A311" s="10" t="n">
        <v>33.5</v>
      </c>
      <c r="B311" s="11" t="n">
        <v>4</v>
      </c>
      <c r="C311" s="10" t="n">
        <v>151</v>
      </c>
      <c r="D311" s="10" t="n">
        <v>90</v>
      </c>
      <c r="E311" s="10" t="n">
        <v>2556</v>
      </c>
      <c r="F311" s="10" t="n">
        <v>13.2</v>
      </c>
      <c r="G311" s="11" t="n">
        <v>79</v>
      </c>
      <c r="H311" s="11" t="s">
        <v>52</v>
      </c>
      <c r="I311" s="11" t="s">
        <v>290</v>
      </c>
    </row>
    <row r="312" customFormat="false" ht="15" hidden="false" customHeight="true" outlineLevel="0" collapsed="false">
      <c r="A312" s="10" t="n">
        <v>41.5</v>
      </c>
      <c r="B312" s="11" t="n">
        <v>4</v>
      </c>
      <c r="C312" s="10" t="n">
        <v>98</v>
      </c>
      <c r="D312" s="10" t="n">
        <v>76</v>
      </c>
      <c r="E312" s="10" t="n">
        <v>2144</v>
      </c>
      <c r="F312" s="10" t="n">
        <v>14.7</v>
      </c>
      <c r="G312" s="11" t="n">
        <v>80</v>
      </c>
      <c r="H312" s="11" t="s">
        <v>73</v>
      </c>
      <c r="I312" s="11" t="s">
        <v>198</v>
      </c>
    </row>
    <row r="313" customFormat="false" ht="15" hidden="false" customHeight="true" outlineLevel="0" collapsed="false">
      <c r="A313" s="10" t="n">
        <v>38.1</v>
      </c>
      <c r="B313" s="11" t="n">
        <v>4</v>
      </c>
      <c r="C313" s="10" t="n">
        <v>89</v>
      </c>
      <c r="D313" s="10" t="n">
        <v>60</v>
      </c>
      <c r="E313" s="10" t="n">
        <v>1968</v>
      </c>
      <c r="F313" s="10" t="n">
        <v>18.8</v>
      </c>
      <c r="G313" s="11" t="n">
        <v>80</v>
      </c>
      <c r="H313" s="11" t="s">
        <v>67</v>
      </c>
      <c r="I313" s="11" t="s">
        <v>291</v>
      </c>
    </row>
    <row r="314" customFormat="false" ht="15" hidden="false" customHeight="true" outlineLevel="0" collapsed="false">
      <c r="A314" s="10" t="n">
        <v>32.1</v>
      </c>
      <c r="B314" s="11" t="n">
        <v>4</v>
      </c>
      <c r="C314" s="10" t="n">
        <v>98</v>
      </c>
      <c r="D314" s="10" t="n">
        <v>70</v>
      </c>
      <c r="E314" s="10" t="n">
        <v>2120</v>
      </c>
      <c r="F314" s="10" t="n">
        <v>15.5</v>
      </c>
      <c r="G314" s="11" t="n">
        <v>80</v>
      </c>
      <c r="H314" s="11" t="s">
        <v>52</v>
      </c>
      <c r="I314" s="11" t="s">
        <v>196</v>
      </c>
    </row>
    <row r="315" customFormat="false" ht="15" hidden="false" customHeight="true" outlineLevel="0" collapsed="false">
      <c r="A315" s="10" t="n">
        <v>37.2</v>
      </c>
      <c r="B315" s="11" t="n">
        <v>4</v>
      </c>
      <c r="C315" s="10" t="n">
        <v>86</v>
      </c>
      <c r="D315" s="10" t="n">
        <v>65</v>
      </c>
      <c r="E315" s="10" t="n">
        <v>2019</v>
      </c>
      <c r="F315" s="10" t="n">
        <v>16.4</v>
      </c>
      <c r="G315" s="11" t="n">
        <v>80</v>
      </c>
      <c r="H315" s="11" t="s">
        <v>67</v>
      </c>
      <c r="I315" s="11" t="s">
        <v>292</v>
      </c>
    </row>
    <row r="316" customFormat="false" ht="15" hidden="false" customHeight="true" outlineLevel="0" collapsed="false">
      <c r="A316" s="10" t="n">
        <v>28</v>
      </c>
      <c r="B316" s="11" t="n">
        <v>4</v>
      </c>
      <c r="C316" s="10" t="n">
        <v>151</v>
      </c>
      <c r="D316" s="10" t="n">
        <v>90</v>
      </c>
      <c r="E316" s="10" t="n">
        <v>2678</v>
      </c>
      <c r="F316" s="10" t="n">
        <v>16.5</v>
      </c>
      <c r="G316" s="11" t="n">
        <v>80</v>
      </c>
      <c r="H316" s="11" t="s">
        <v>52</v>
      </c>
      <c r="I316" s="11" t="s">
        <v>288</v>
      </c>
    </row>
    <row r="317" customFormat="false" ht="15" hidden="false" customHeight="true" outlineLevel="0" collapsed="false">
      <c r="A317" s="10" t="n">
        <v>26.4</v>
      </c>
      <c r="B317" s="11" t="n">
        <v>4</v>
      </c>
      <c r="C317" s="10" t="n">
        <v>140</v>
      </c>
      <c r="D317" s="10" t="n">
        <v>88</v>
      </c>
      <c r="E317" s="10" t="n">
        <v>2870</v>
      </c>
      <c r="F317" s="10" t="n">
        <v>18.1</v>
      </c>
      <c r="G317" s="11" t="n">
        <v>80</v>
      </c>
      <c r="H317" s="11" t="s">
        <v>52</v>
      </c>
      <c r="I317" s="11" t="s">
        <v>293</v>
      </c>
    </row>
    <row r="318" customFormat="false" ht="15" hidden="false" customHeight="true" outlineLevel="0" collapsed="false">
      <c r="A318" s="10" t="n">
        <v>24.3</v>
      </c>
      <c r="B318" s="11" t="n">
        <v>4</v>
      </c>
      <c r="C318" s="10" t="n">
        <v>151</v>
      </c>
      <c r="D318" s="10" t="n">
        <v>90</v>
      </c>
      <c r="E318" s="10" t="n">
        <v>3003</v>
      </c>
      <c r="F318" s="10" t="n">
        <v>20.1</v>
      </c>
      <c r="G318" s="11" t="n">
        <v>80</v>
      </c>
      <c r="H318" s="11" t="s">
        <v>52</v>
      </c>
      <c r="I318" s="11" t="s">
        <v>247</v>
      </c>
    </row>
    <row r="319" customFormat="false" ht="15" hidden="false" customHeight="true" outlineLevel="0" collapsed="false">
      <c r="A319" s="10" t="n">
        <v>19.1</v>
      </c>
      <c r="B319" s="11" t="n">
        <v>6</v>
      </c>
      <c r="C319" s="10" t="n">
        <v>225</v>
      </c>
      <c r="D319" s="10" t="n">
        <v>90</v>
      </c>
      <c r="E319" s="10" t="n">
        <v>3381</v>
      </c>
      <c r="F319" s="10" t="n">
        <v>18.7</v>
      </c>
      <c r="G319" s="11" t="n">
        <v>80</v>
      </c>
      <c r="H319" s="11" t="s">
        <v>52</v>
      </c>
      <c r="I319" s="11" t="s">
        <v>250</v>
      </c>
    </row>
    <row r="320" customFormat="false" ht="15" hidden="false" customHeight="true" outlineLevel="0" collapsed="false">
      <c r="A320" s="10" t="n">
        <v>34.3</v>
      </c>
      <c r="B320" s="11" t="n">
        <v>4</v>
      </c>
      <c r="C320" s="10" t="n">
        <v>97</v>
      </c>
      <c r="D320" s="10" t="n">
        <v>78</v>
      </c>
      <c r="E320" s="10" t="n">
        <v>2188</v>
      </c>
      <c r="F320" s="10" t="n">
        <v>15.8</v>
      </c>
      <c r="G320" s="11" t="n">
        <v>80</v>
      </c>
      <c r="H320" s="11" t="s">
        <v>73</v>
      </c>
      <c r="I320" s="11" t="s">
        <v>294</v>
      </c>
    </row>
    <row r="321" customFormat="false" ht="15" hidden="false" customHeight="true" outlineLevel="0" collapsed="false">
      <c r="A321" s="10" t="n">
        <v>29.8</v>
      </c>
      <c r="B321" s="11" t="n">
        <v>4</v>
      </c>
      <c r="C321" s="10" t="n">
        <v>134</v>
      </c>
      <c r="D321" s="10" t="n">
        <v>90</v>
      </c>
      <c r="E321" s="10" t="n">
        <v>2711</v>
      </c>
      <c r="F321" s="10" t="n">
        <v>15.5</v>
      </c>
      <c r="G321" s="11" t="n">
        <v>80</v>
      </c>
      <c r="H321" s="11" t="s">
        <v>67</v>
      </c>
      <c r="I321" s="11" t="s">
        <v>295</v>
      </c>
    </row>
    <row r="322" customFormat="false" ht="15" hidden="false" customHeight="true" outlineLevel="0" collapsed="false">
      <c r="A322" s="10" t="n">
        <v>31.3</v>
      </c>
      <c r="B322" s="11" t="n">
        <v>4</v>
      </c>
      <c r="C322" s="10" t="n">
        <v>120</v>
      </c>
      <c r="D322" s="10" t="n">
        <v>75</v>
      </c>
      <c r="E322" s="10" t="n">
        <v>2542</v>
      </c>
      <c r="F322" s="10" t="n">
        <v>17.5</v>
      </c>
      <c r="G322" s="11" t="n">
        <v>80</v>
      </c>
      <c r="H322" s="11" t="s">
        <v>67</v>
      </c>
      <c r="I322" s="11" t="s">
        <v>296</v>
      </c>
    </row>
    <row r="323" customFormat="false" ht="15" hidden="false" customHeight="true" outlineLevel="0" collapsed="false">
      <c r="A323" s="10" t="n">
        <v>37</v>
      </c>
      <c r="B323" s="11" t="n">
        <v>4</v>
      </c>
      <c r="C323" s="10" t="n">
        <v>119</v>
      </c>
      <c r="D323" s="10" t="n">
        <v>92</v>
      </c>
      <c r="E323" s="10" t="n">
        <v>2434</v>
      </c>
      <c r="F323" s="10" t="n">
        <v>15</v>
      </c>
      <c r="G323" s="11" t="n">
        <v>80</v>
      </c>
      <c r="H323" s="11" t="s">
        <v>67</v>
      </c>
      <c r="I323" s="11" t="s">
        <v>297</v>
      </c>
    </row>
    <row r="324" customFormat="false" ht="15" hidden="false" customHeight="true" outlineLevel="0" collapsed="false">
      <c r="A324" s="10" t="n">
        <v>32.2</v>
      </c>
      <c r="B324" s="11" t="n">
        <v>4</v>
      </c>
      <c r="C324" s="10" t="n">
        <v>108</v>
      </c>
      <c r="D324" s="10" t="n">
        <v>75</v>
      </c>
      <c r="E324" s="10" t="n">
        <v>2265</v>
      </c>
      <c r="F324" s="10" t="n">
        <v>15.2</v>
      </c>
      <c r="G324" s="11" t="n">
        <v>80</v>
      </c>
      <c r="H324" s="11" t="s">
        <v>67</v>
      </c>
      <c r="I324" s="11" t="s">
        <v>186</v>
      </c>
    </row>
    <row r="325" customFormat="false" ht="15" hidden="false" customHeight="true" outlineLevel="0" collapsed="false">
      <c r="A325" s="10" t="n">
        <v>46.6</v>
      </c>
      <c r="B325" s="11" t="n">
        <v>4</v>
      </c>
      <c r="C325" s="10" t="n">
        <v>86</v>
      </c>
      <c r="D325" s="10" t="n">
        <v>65</v>
      </c>
      <c r="E325" s="10" t="n">
        <v>2110</v>
      </c>
      <c r="F325" s="10" t="n">
        <v>17.9</v>
      </c>
      <c r="G325" s="11" t="n">
        <v>80</v>
      </c>
      <c r="H325" s="11" t="s">
        <v>67</v>
      </c>
      <c r="I325" s="11" t="s">
        <v>298</v>
      </c>
    </row>
    <row r="326" customFormat="false" ht="15" hidden="false" customHeight="true" outlineLevel="0" collapsed="false">
      <c r="A326" s="10" t="n">
        <v>27.9</v>
      </c>
      <c r="B326" s="11" t="n">
        <v>4</v>
      </c>
      <c r="C326" s="10" t="n">
        <v>156</v>
      </c>
      <c r="D326" s="10" t="n">
        <v>105</v>
      </c>
      <c r="E326" s="10" t="n">
        <v>2800</v>
      </c>
      <c r="F326" s="10" t="n">
        <v>14.4</v>
      </c>
      <c r="G326" s="11" t="n">
        <v>80</v>
      </c>
      <c r="H326" s="11" t="s">
        <v>52</v>
      </c>
      <c r="I326" s="11" t="s">
        <v>171</v>
      </c>
    </row>
    <row r="327" customFormat="false" ht="15" hidden="false" customHeight="true" outlineLevel="0" collapsed="false">
      <c r="A327" s="10" t="n">
        <v>40.8</v>
      </c>
      <c r="B327" s="11" t="n">
        <v>4</v>
      </c>
      <c r="C327" s="10" t="n">
        <v>85</v>
      </c>
      <c r="D327" s="10" t="n">
        <v>65</v>
      </c>
      <c r="E327" s="10" t="n">
        <v>2110</v>
      </c>
      <c r="F327" s="10" t="n">
        <v>19.2</v>
      </c>
      <c r="G327" s="11" t="n">
        <v>80</v>
      </c>
      <c r="H327" s="11" t="s">
        <v>67</v>
      </c>
      <c r="I327" s="11" t="s">
        <v>285</v>
      </c>
    </row>
    <row r="328" customFormat="false" ht="15" hidden="false" customHeight="true" outlineLevel="0" collapsed="false">
      <c r="A328" s="10" t="n">
        <v>44.3</v>
      </c>
      <c r="B328" s="11" t="n">
        <v>4</v>
      </c>
      <c r="C328" s="10" t="n">
        <v>90</v>
      </c>
      <c r="D328" s="10" t="n">
        <v>48</v>
      </c>
      <c r="E328" s="10" t="n">
        <v>2085</v>
      </c>
      <c r="F328" s="10" t="n">
        <v>21.7</v>
      </c>
      <c r="G328" s="11" t="n">
        <v>80</v>
      </c>
      <c r="H328" s="11" t="s">
        <v>73</v>
      </c>
      <c r="I328" s="11" t="s">
        <v>299</v>
      </c>
    </row>
    <row r="329" customFormat="false" ht="15" hidden="false" customHeight="true" outlineLevel="0" collapsed="false">
      <c r="A329" s="10" t="n">
        <v>43.4</v>
      </c>
      <c r="B329" s="11" t="n">
        <v>4</v>
      </c>
      <c r="C329" s="10" t="n">
        <v>90</v>
      </c>
      <c r="D329" s="10" t="n">
        <v>48</v>
      </c>
      <c r="E329" s="10" t="n">
        <v>2335</v>
      </c>
      <c r="F329" s="10" t="n">
        <v>23.7</v>
      </c>
      <c r="G329" s="11" t="n">
        <v>80</v>
      </c>
      <c r="H329" s="11" t="s">
        <v>73</v>
      </c>
      <c r="I329" s="11" t="s">
        <v>300</v>
      </c>
    </row>
    <row r="330" customFormat="false" ht="15" hidden="false" customHeight="true" outlineLevel="0" collapsed="false">
      <c r="A330" s="10" t="n">
        <v>36.4</v>
      </c>
      <c r="B330" s="11" t="n">
        <v>5</v>
      </c>
      <c r="C330" s="10" t="n">
        <v>121</v>
      </c>
      <c r="D330" s="10" t="n">
        <v>67</v>
      </c>
      <c r="E330" s="10" t="n">
        <v>2950</v>
      </c>
      <c r="F330" s="10" t="n">
        <v>19.9</v>
      </c>
      <c r="G330" s="11" t="n">
        <v>80</v>
      </c>
      <c r="H330" s="11" t="s">
        <v>73</v>
      </c>
      <c r="I330" s="11" t="s">
        <v>301</v>
      </c>
    </row>
    <row r="331" customFormat="false" ht="15" hidden="false" customHeight="true" outlineLevel="0" collapsed="false">
      <c r="A331" s="10" t="n">
        <v>30</v>
      </c>
      <c r="B331" s="11" t="n">
        <v>4</v>
      </c>
      <c r="C331" s="10" t="n">
        <v>146</v>
      </c>
      <c r="D331" s="10" t="n">
        <v>67</v>
      </c>
      <c r="E331" s="10" t="n">
        <v>3250</v>
      </c>
      <c r="F331" s="10" t="n">
        <v>21.8</v>
      </c>
      <c r="G331" s="11" t="n">
        <v>80</v>
      </c>
      <c r="H331" s="11" t="s">
        <v>73</v>
      </c>
      <c r="I331" s="11" t="s">
        <v>302</v>
      </c>
    </row>
    <row r="332" customFormat="false" ht="15" hidden="false" customHeight="true" outlineLevel="0" collapsed="false">
      <c r="A332" s="10" t="n">
        <v>44.6</v>
      </c>
      <c r="B332" s="11" t="n">
        <v>4</v>
      </c>
      <c r="C332" s="10" t="n">
        <v>91</v>
      </c>
      <c r="D332" s="10" t="n">
        <v>67</v>
      </c>
      <c r="E332" s="10" t="n">
        <v>1850</v>
      </c>
      <c r="F332" s="10" t="n">
        <v>13.8</v>
      </c>
      <c r="G332" s="11" t="n">
        <v>80</v>
      </c>
      <c r="H332" s="11" t="s">
        <v>67</v>
      </c>
      <c r="I332" s="11" t="s">
        <v>303</v>
      </c>
    </row>
    <row r="333" customFormat="false" ht="15" hidden="false" customHeight="true" outlineLevel="0" collapsed="false">
      <c r="A333" s="10" t="n">
        <v>40.9</v>
      </c>
      <c r="B333" s="11" t="n">
        <v>4</v>
      </c>
      <c r="C333" s="10" t="n">
        <v>85</v>
      </c>
      <c r="D333" s="10" t="n">
        <v>104.469387755102</v>
      </c>
      <c r="E333" s="10" t="n">
        <v>1835</v>
      </c>
      <c r="F333" s="10" t="n">
        <v>17.3</v>
      </c>
      <c r="G333" s="11" t="n">
        <v>80</v>
      </c>
      <c r="H333" s="11" t="s">
        <v>73</v>
      </c>
      <c r="I333" s="11" t="s">
        <v>304</v>
      </c>
    </row>
    <row r="334" customFormat="false" ht="15" hidden="false" customHeight="true" outlineLevel="0" collapsed="false">
      <c r="A334" s="10" t="n">
        <v>33.8</v>
      </c>
      <c r="B334" s="11" t="n">
        <v>4</v>
      </c>
      <c r="C334" s="10" t="n">
        <v>97</v>
      </c>
      <c r="D334" s="10" t="n">
        <v>67</v>
      </c>
      <c r="E334" s="10" t="n">
        <v>2145</v>
      </c>
      <c r="F334" s="10" t="n">
        <v>18</v>
      </c>
      <c r="G334" s="11" t="n">
        <v>80</v>
      </c>
      <c r="H334" s="11" t="s">
        <v>67</v>
      </c>
      <c r="I334" s="11" t="s">
        <v>232</v>
      </c>
    </row>
    <row r="335" customFormat="false" ht="15" hidden="false" customHeight="true" outlineLevel="0" collapsed="false">
      <c r="A335" s="10" t="n">
        <v>29.8</v>
      </c>
      <c r="B335" s="11" t="n">
        <v>4</v>
      </c>
      <c r="C335" s="10" t="n">
        <v>89</v>
      </c>
      <c r="D335" s="10" t="n">
        <v>62</v>
      </c>
      <c r="E335" s="10" t="n">
        <v>1845</v>
      </c>
      <c r="F335" s="10" t="n">
        <v>15.3</v>
      </c>
      <c r="G335" s="11" t="n">
        <v>80</v>
      </c>
      <c r="H335" s="11" t="s">
        <v>73</v>
      </c>
      <c r="I335" s="11" t="s">
        <v>305</v>
      </c>
    </row>
    <row r="336" customFormat="false" ht="15" hidden="false" customHeight="true" outlineLevel="0" collapsed="false">
      <c r="A336" s="10" t="n">
        <v>32.7</v>
      </c>
      <c r="B336" s="11" t="n">
        <v>6</v>
      </c>
      <c r="C336" s="10" t="n">
        <v>168</v>
      </c>
      <c r="D336" s="10" t="n">
        <v>132</v>
      </c>
      <c r="E336" s="10" t="n">
        <v>2910</v>
      </c>
      <c r="F336" s="10" t="n">
        <v>11.4</v>
      </c>
      <c r="G336" s="11" t="n">
        <v>80</v>
      </c>
      <c r="H336" s="11" t="s">
        <v>67</v>
      </c>
      <c r="I336" s="11" t="s">
        <v>306</v>
      </c>
    </row>
    <row r="337" customFormat="false" ht="15" hidden="false" customHeight="true" outlineLevel="0" collapsed="false">
      <c r="A337" s="10" t="n">
        <v>23.7</v>
      </c>
      <c r="B337" s="11" t="n">
        <v>3</v>
      </c>
      <c r="C337" s="10" t="n">
        <v>70</v>
      </c>
      <c r="D337" s="10" t="n">
        <v>100</v>
      </c>
      <c r="E337" s="10" t="n">
        <v>2420</v>
      </c>
      <c r="F337" s="10" t="n">
        <v>12.5</v>
      </c>
      <c r="G337" s="11" t="n">
        <v>80</v>
      </c>
      <c r="H337" s="11" t="s">
        <v>67</v>
      </c>
      <c r="I337" s="11" t="s">
        <v>307</v>
      </c>
    </row>
    <row r="338" customFormat="false" ht="15" hidden="false" customHeight="true" outlineLevel="0" collapsed="false">
      <c r="A338" s="10" t="n">
        <v>35</v>
      </c>
      <c r="B338" s="11" t="n">
        <v>4</v>
      </c>
      <c r="C338" s="10" t="n">
        <v>122</v>
      </c>
      <c r="D338" s="10" t="n">
        <v>88</v>
      </c>
      <c r="E338" s="10" t="n">
        <v>2500</v>
      </c>
      <c r="F338" s="10" t="n">
        <v>15.1</v>
      </c>
      <c r="G338" s="11" t="n">
        <v>80</v>
      </c>
      <c r="H338" s="11" t="s">
        <v>73</v>
      </c>
      <c r="I338" s="11" t="s">
        <v>308</v>
      </c>
    </row>
    <row r="339" customFormat="false" ht="15" hidden="false" customHeight="true" outlineLevel="0" collapsed="false">
      <c r="A339" s="10" t="n">
        <v>23.6</v>
      </c>
      <c r="B339" s="11" t="n">
        <v>4</v>
      </c>
      <c r="C339" s="10" t="n">
        <v>140</v>
      </c>
      <c r="D339" s="10" t="n">
        <v>104.469387755102</v>
      </c>
      <c r="E339" s="10" t="n">
        <v>2905</v>
      </c>
      <c r="F339" s="10" t="n">
        <v>14.3</v>
      </c>
      <c r="G339" s="11" t="n">
        <v>80</v>
      </c>
      <c r="H339" s="11" t="s">
        <v>52</v>
      </c>
      <c r="I339" s="11" t="s">
        <v>309</v>
      </c>
    </row>
    <row r="340" customFormat="false" ht="15" hidden="false" customHeight="true" outlineLevel="0" collapsed="false">
      <c r="A340" s="10" t="n">
        <v>32.4</v>
      </c>
      <c r="B340" s="11" t="n">
        <v>4</v>
      </c>
      <c r="C340" s="10" t="n">
        <v>107</v>
      </c>
      <c r="D340" s="10" t="n">
        <v>72</v>
      </c>
      <c r="E340" s="10" t="n">
        <v>2290</v>
      </c>
      <c r="F340" s="10" t="n">
        <v>17</v>
      </c>
      <c r="G340" s="11" t="n">
        <v>80</v>
      </c>
      <c r="H340" s="11" t="s">
        <v>67</v>
      </c>
      <c r="I340" s="11" t="s">
        <v>310</v>
      </c>
    </row>
    <row r="341" customFormat="false" ht="15" hidden="false" customHeight="true" outlineLevel="0" collapsed="false">
      <c r="A341" s="10" t="n">
        <v>27.2</v>
      </c>
      <c r="B341" s="11" t="n">
        <v>4</v>
      </c>
      <c r="C341" s="10" t="n">
        <v>135</v>
      </c>
      <c r="D341" s="10" t="n">
        <v>84</v>
      </c>
      <c r="E341" s="10" t="n">
        <v>2490</v>
      </c>
      <c r="F341" s="10" t="n">
        <v>15.7</v>
      </c>
      <c r="G341" s="11" t="n">
        <v>81</v>
      </c>
      <c r="H341" s="11" t="s">
        <v>52</v>
      </c>
      <c r="I341" s="11" t="s">
        <v>311</v>
      </c>
    </row>
    <row r="342" customFormat="false" ht="15" hidden="false" customHeight="true" outlineLevel="0" collapsed="false">
      <c r="A342" s="10" t="n">
        <v>26.6</v>
      </c>
      <c r="B342" s="11" t="n">
        <v>4</v>
      </c>
      <c r="C342" s="10" t="n">
        <v>151</v>
      </c>
      <c r="D342" s="10" t="n">
        <v>84</v>
      </c>
      <c r="E342" s="10" t="n">
        <v>2635</v>
      </c>
      <c r="F342" s="10" t="n">
        <v>16.4</v>
      </c>
      <c r="G342" s="11" t="n">
        <v>81</v>
      </c>
      <c r="H342" s="11" t="s">
        <v>52</v>
      </c>
      <c r="I342" s="11" t="s">
        <v>220</v>
      </c>
    </row>
    <row r="343" customFormat="false" ht="15" hidden="false" customHeight="true" outlineLevel="0" collapsed="false">
      <c r="A343" s="10" t="n">
        <v>25.8</v>
      </c>
      <c r="B343" s="11" t="n">
        <v>4</v>
      </c>
      <c r="C343" s="10" t="n">
        <v>156</v>
      </c>
      <c r="D343" s="10" t="n">
        <v>92</v>
      </c>
      <c r="E343" s="10" t="n">
        <v>2620</v>
      </c>
      <c r="F343" s="10" t="n">
        <v>14.4</v>
      </c>
      <c r="G343" s="11" t="n">
        <v>81</v>
      </c>
      <c r="H343" s="11" t="s">
        <v>52</v>
      </c>
      <c r="I343" s="11" t="s">
        <v>312</v>
      </c>
    </row>
    <row r="344" customFormat="false" ht="15" hidden="false" customHeight="true" outlineLevel="0" collapsed="false">
      <c r="A344" s="10" t="n">
        <v>23.5</v>
      </c>
      <c r="B344" s="11" t="n">
        <v>6</v>
      </c>
      <c r="C344" s="10" t="n">
        <v>173</v>
      </c>
      <c r="D344" s="10" t="n">
        <v>110</v>
      </c>
      <c r="E344" s="10" t="n">
        <v>2725</v>
      </c>
      <c r="F344" s="10" t="n">
        <v>12.6</v>
      </c>
      <c r="G344" s="11" t="n">
        <v>81</v>
      </c>
      <c r="H344" s="11" t="s">
        <v>52</v>
      </c>
      <c r="I344" s="11" t="s">
        <v>288</v>
      </c>
    </row>
    <row r="345" customFormat="false" ht="15" hidden="false" customHeight="true" outlineLevel="0" collapsed="false">
      <c r="A345" s="10" t="n">
        <v>30</v>
      </c>
      <c r="B345" s="11" t="n">
        <v>4</v>
      </c>
      <c r="C345" s="10" t="n">
        <v>135</v>
      </c>
      <c r="D345" s="10" t="n">
        <v>84</v>
      </c>
      <c r="E345" s="10" t="n">
        <v>2385</v>
      </c>
      <c r="F345" s="10" t="n">
        <v>12.9</v>
      </c>
      <c r="G345" s="11" t="n">
        <v>81</v>
      </c>
      <c r="H345" s="11" t="s">
        <v>52</v>
      </c>
      <c r="I345" s="11" t="s">
        <v>311</v>
      </c>
    </row>
    <row r="346" customFormat="false" ht="15" hidden="false" customHeight="true" outlineLevel="0" collapsed="false">
      <c r="A346" s="10" t="n">
        <v>39.1</v>
      </c>
      <c r="B346" s="11" t="n">
        <v>4</v>
      </c>
      <c r="C346" s="10" t="n">
        <v>79</v>
      </c>
      <c r="D346" s="10" t="n">
        <v>58</v>
      </c>
      <c r="E346" s="10" t="n">
        <v>1755</v>
      </c>
      <c r="F346" s="10" t="n">
        <v>16.9</v>
      </c>
      <c r="G346" s="11" t="n">
        <v>81</v>
      </c>
      <c r="H346" s="11" t="s">
        <v>67</v>
      </c>
      <c r="I346" s="11" t="s">
        <v>313</v>
      </c>
    </row>
    <row r="347" customFormat="false" ht="15" hidden="false" customHeight="true" outlineLevel="0" collapsed="false">
      <c r="A347" s="10" t="n">
        <v>39</v>
      </c>
      <c r="B347" s="11" t="n">
        <v>4</v>
      </c>
      <c r="C347" s="10" t="n">
        <v>86</v>
      </c>
      <c r="D347" s="10" t="n">
        <v>64</v>
      </c>
      <c r="E347" s="10" t="n">
        <v>1875</v>
      </c>
      <c r="F347" s="10" t="n">
        <v>16.4</v>
      </c>
      <c r="G347" s="11" t="n">
        <v>81</v>
      </c>
      <c r="H347" s="11" t="s">
        <v>52</v>
      </c>
      <c r="I347" s="11" t="s">
        <v>314</v>
      </c>
    </row>
    <row r="348" customFormat="false" ht="15" hidden="false" customHeight="true" outlineLevel="0" collapsed="false">
      <c r="A348" s="10" t="n">
        <v>35.1</v>
      </c>
      <c r="B348" s="11" t="n">
        <v>4</v>
      </c>
      <c r="C348" s="10" t="n">
        <v>81</v>
      </c>
      <c r="D348" s="10" t="n">
        <v>60</v>
      </c>
      <c r="E348" s="10" t="n">
        <v>1760</v>
      </c>
      <c r="F348" s="10" t="n">
        <v>16.1</v>
      </c>
      <c r="G348" s="11" t="n">
        <v>81</v>
      </c>
      <c r="H348" s="11" t="s">
        <v>67</v>
      </c>
      <c r="I348" s="11" t="s">
        <v>315</v>
      </c>
    </row>
    <row r="349" customFormat="false" ht="15" hidden="false" customHeight="true" outlineLevel="0" collapsed="false">
      <c r="A349" s="10" t="n">
        <v>32.3</v>
      </c>
      <c r="B349" s="11" t="n">
        <v>4</v>
      </c>
      <c r="C349" s="10" t="n">
        <v>97</v>
      </c>
      <c r="D349" s="10" t="n">
        <v>67</v>
      </c>
      <c r="E349" s="10" t="n">
        <v>2065</v>
      </c>
      <c r="F349" s="10" t="n">
        <v>17.8</v>
      </c>
      <c r="G349" s="11" t="n">
        <v>81</v>
      </c>
      <c r="H349" s="11" t="s">
        <v>67</v>
      </c>
      <c r="I349" s="11" t="s">
        <v>174</v>
      </c>
    </row>
    <row r="350" customFormat="false" ht="15" hidden="false" customHeight="true" outlineLevel="0" collapsed="false">
      <c r="A350" s="10" t="n">
        <v>37</v>
      </c>
      <c r="B350" s="11" t="n">
        <v>4</v>
      </c>
      <c r="C350" s="10" t="n">
        <v>85</v>
      </c>
      <c r="D350" s="10" t="n">
        <v>65</v>
      </c>
      <c r="E350" s="10" t="n">
        <v>1975</v>
      </c>
      <c r="F350" s="10" t="n">
        <v>19.4</v>
      </c>
      <c r="G350" s="11" t="n">
        <v>81</v>
      </c>
      <c r="H350" s="11" t="s">
        <v>67</v>
      </c>
      <c r="I350" s="11" t="s">
        <v>316</v>
      </c>
    </row>
    <row r="351" customFormat="false" ht="15" hidden="false" customHeight="true" outlineLevel="0" collapsed="false">
      <c r="A351" s="10" t="n">
        <v>37.7</v>
      </c>
      <c r="B351" s="11" t="n">
        <v>4</v>
      </c>
      <c r="C351" s="10" t="n">
        <v>89</v>
      </c>
      <c r="D351" s="10" t="n">
        <v>62</v>
      </c>
      <c r="E351" s="10" t="n">
        <v>2050</v>
      </c>
      <c r="F351" s="10" t="n">
        <v>17.3</v>
      </c>
      <c r="G351" s="11" t="n">
        <v>81</v>
      </c>
      <c r="H351" s="11" t="s">
        <v>67</v>
      </c>
      <c r="I351" s="11" t="s">
        <v>317</v>
      </c>
    </row>
    <row r="352" customFormat="false" ht="15" hidden="false" customHeight="true" outlineLevel="0" collapsed="false">
      <c r="A352" s="10" t="n">
        <v>34.1</v>
      </c>
      <c r="B352" s="11" t="n">
        <v>4</v>
      </c>
      <c r="C352" s="10" t="n">
        <v>91</v>
      </c>
      <c r="D352" s="10" t="n">
        <v>68</v>
      </c>
      <c r="E352" s="10" t="n">
        <v>1985</v>
      </c>
      <c r="F352" s="10" t="n">
        <v>16</v>
      </c>
      <c r="G352" s="11" t="n">
        <v>81</v>
      </c>
      <c r="H352" s="11" t="s">
        <v>67</v>
      </c>
      <c r="I352" s="11" t="s">
        <v>318</v>
      </c>
    </row>
    <row r="353" customFormat="false" ht="15" hidden="false" customHeight="true" outlineLevel="0" collapsed="false">
      <c r="A353" s="10" t="n">
        <v>34.7</v>
      </c>
      <c r="B353" s="11" t="n">
        <v>4</v>
      </c>
      <c r="C353" s="10" t="n">
        <v>105</v>
      </c>
      <c r="D353" s="10" t="n">
        <v>63</v>
      </c>
      <c r="E353" s="10" t="n">
        <v>2215</v>
      </c>
      <c r="F353" s="10" t="n">
        <v>14.9</v>
      </c>
      <c r="G353" s="11" t="n">
        <v>81</v>
      </c>
      <c r="H353" s="11" t="s">
        <v>52</v>
      </c>
      <c r="I353" s="11" t="s">
        <v>319</v>
      </c>
    </row>
    <row r="354" customFormat="false" ht="15" hidden="false" customHeight="true" outlineLevel="0" collapsed="false">
      <c r="A354" s="10" t="n">
        <v>34.4</v>
      </c>
      <c r="B354" s="11" t="n">
        <v>4</v>
      </c>
      <c r="C354" s="10" t="n">
        <v>98</v>
      </c>
      <c r="D354" s="10" t="n">
        <v>65</v>
      </c>
      <c r="E354" s="10" t="n">
        <v>2045</v>
      </c>
      <c r="F354" s="10" t="n">
        <v>16.2</v>
      </c>
      <c r="G354" s="11" t="n">
        <v>81</v>
      </c>
      <c r="H354" s="11" t="s">
        <v>52</v>
      </c>
      <c r="I354" s="11" t="s">
        <v>320</v>
      </c>
    </row>
    <row r="355" customFormat="false" ht="15" hidden="false" customHeight="true" outlineLevel="0" collapsed="false">
      <c r="A355" s="10" t="n">
        <v>29.9</v>
      </c>
      <c r="B355" s="11" t="n">
        <v>4</v>
      </c>
      <c r="C355" s="10" t="n">
        <v>98</v>
      </c>
      <c r="D355" s="10" t="n">
        <v>65</v>
      </c>
      <c r="E355" s="10" t="n">
        <v>2380</v>
      </c>
      <c r="F355" s="10" t="n">
        <v>20.7</v>
      </c>
      <c r="G355" s="11" t="n">
        <v>81</v>
      </c>
      <c r="H355" s="11" t="s">
        <v>52</v>
      </c>
      <c r="I355" s="11" t="s">
        <v>321</v>
      </c>
    </row>
    <row r="356" customFormat="false" ht="15" hidden="false" customHeight="true" outlineLevel="0" collapsed="false">
      <c r="A356" s="10" t="n">
        <v>33</v>
      </c>
      <c r="B356" s="11" t="n">
        <v>4</v>
      </c>
      <c r="C356" s="10" t="n">
        <v>105</v>
      </c>
      <c r="D356" s="10" t="n">
        <v>74</v>
      </c>
      <c r="E356" s="10" t="n">
        <v>2190</v>
      </c>
      <c r="F356" s="10" t="n">
        <v>14.2</v>
      </c>
      <c r="G356" s="11" t="n">
        <v>81</v>
      </c>
      <c r="H356" s="11" t="s">
        <v>73</v>
      </c>
      <c r="I356" s="11" t="s">
        <v>322</v>
      </c>
    </row>
    <row r="357" customFormat="false" ht="15" hidden="false" customHeight="true" outlineLevel="0" collapsed="false">
      <c r="A357" s="10" t="n">
        <v>34.5</v>
      </c>
      <c r="B357" s="11" t="n">
        <v>4</v>
      </c>
      <c r="C357" s="10" t="n">
        <v>100</v>
      </c>
      <c r="D357" s="10" t="n">
        <v>104.469387755102</v>
      </c>
      <c r="E357" s="10" t="n">
        <v>2320</v>
      </c>
      <c r="F357" s="10" t="n">
        <v>15.8</v>
      </c>
      <c r="G357" s="11" t="n">
        <v>81</v>
      </c>
      <c r="H357" s="11" t="s">
        <v>73</v>
      </c>
      <c r="I357" s="11" t="s">
        <v>323</v>
      </c>
    </row>
    <row r="358" customFormat="false" ht="15" hidden="false" customHeight="true" outlineLevel="0" collapsed="false">
      <c r="A358" s="10" t="n">
        <v>33.7</v>
      </c>
      <c r="B358" s="11" t="n">
        <v>4</v>
      </c>
      <c r="C358" s="10" t="n">
        <v>107</v>
      </c>
      <c r="D358" s="10" t="n">
        <v>75</v>
      </c>
      <c r="E358" s="10" t="n">
        <v>2210</v>
      </c>
      <c r="F358" s="10" t="n">
        <v>14.4</v>
      </c>
      <c r="G358" s="11" t="n">
        <v>81</v>
      </c>
      <c r="H358" s="11" t="s">
        <v>67</v>
      </c>
      <c r="I358" s="11" t="s">
        <v>324</v>
      </c>
    </row>
    <row r="359" customFormat="false" ht="15" hidden="false" customHeight="true" outlineLevel="0" collapsed="false">
      <c r="A359" s="10" t="n">
        <v>32.4</v>
      </c>
      <c r="B359" s="11" t="n">
        <v>4</v>
      </c>
      <c r="C359" s="10" t="n">
        <v>108</v>
      </c>
      <c r="D359" s="10" t="n">
        <v>75</v>
      </c>
      <c r="E359" s="10" t="n">
        <v>2350</v>
      </c>
      <c r="F359" s="10" t="n">
        <v>16.8</v>
      </c>
      <c r="G359" s="11" t="n">
        <v>81</v>
      </c>
      <c r="H359" s="11" t="s">
        <v>67</v>
      </c>
      <c r="I359" s="11" t="s">
        <v>186</v>
      </c>
    </row>
    <row r="360" customFormat="false" ht="15" hidden="false" customHeight="true" outlineLevel="0" collapsed="false">
      <c r="A360" s="10" t="n">
        <v>32.9</v>
      </c>
      <c r="B360" s="11" t="n">
        <v>4</v>
      </c>
      <c r="C360" s="10" t="n">
        <v>119</v>
      </c>
      <c r="D360" s="10" t="n">
        <v>100</v>
      </c>
      <c r="E360" s="10" t="n">
        <v>2615</v>
      </c>
      <c r="F360" s="10" t="n">
        <v>14.8</v>
      </c>
      <c r="G360" s="11" t="n">
        <v>81</v>
      </c>
      <c r="H360" s="11" t="s">
        <v>67</v>
      </c>
      <c r="I360" s="11" t="s">
        <v>325</v>
      </c>
    </row>
    <row r="361" customFormat="false" ht="15" hidden="false" customHeight="true" outlineLevel="0" collapsed="false">
      <c r="A361" s="10" t="n">
        <v>31.6</v>
      </c>
      <c r="B361" s="11" t="n">
        <v>4</v>
      </c>
      <c r="C361" s="10" t="n">
        <v>120</v>
      </c>
      <c r="D361" s="10" t="n">
        <v>74</v>
      </c>
      <c r="E361" s="10" t="n">
        <v>2635</v>
      </c>
      <c r="F361" s="10" t="n">
        <v>18.3</v>
      </c>
      <c r="G361" s="11" t="n">
        <v>81</v>
      </c>
      <c r="H361" s="11" t="s">
        <v>67</v>
      </c>
      <c r="I361" s="11" t="s">
        <v>296</v>
      </c>
    </row>
    <row r="362" customFormat="false" ht="15" hidden="false" customHeight="true" outlineLevel="0" collapsed="false">
      <c r="A362" s="10" t="n">
        <v>28.1</v>
      </c>
      <c r="B362" s="11" t="n">
        <v>4</v>
      </c>
      <c r="C362" s="10" t="n">
        <v>141</v>
      </c>
      <c r="D362" s="10" t="n">
        <v>80</v>
      </c>
      <c r="E362" s="10" t="n">
        <v>3230</v>
      </c>
      <c r="F362" s="10" t="n">
        <v>20.4</v>
      </c>
      <c r="G362" s="11" t="n">
        <v>81</v>
      </c>
      <c r="H362" s="11" t="s">
        <v>73</v>
      </c>
      <c r="I362" s="11" t="s">
        <v>326</v>
      </c>
    </row>
    <row r="363" customFormat="false" ht="15" hidden="false" customHeight="true" outlineLevel="0" collapsed="false">
      <c r="A363" s="10" t="n">
        <v>30.7</v>
      </c>
      <c r="B363" s="11" t="n">
        <v>6</v>
      </c>
      <c r="C363" s="10" t="n">
        <v>145</v>
      </c>
      <c r="D363" s="10" t="n">
        <v>76</v>
      </c>
      <c r="E363" s="10" t="n">
        <v>3160</v>
      </c>
      <c r="F363" s="10" t="n">
        <v>19.6</v>
      </c>
      <c r="G363" s="11" t="n">
        <v>81</v>
      </c>
      <c r="H363" s="11" t="s">
        <v>73</v>
      </c>
      <c r="I363" s="11" t="s">
        <v>327</v>
      </c>
    </row>
    <row r="364" customFormat="false" ht="15" hidden="false" customHeight="true" outlineLevel="0" collapsed="false">
      <c r="A364" s="10" t="n">
        <v>25.4</v>
      </c>
      <c r="B364" s="11" t="n">
        <v>6</v>
      </c>
      <c r="C364" s="10" t="n">
        <v>168</v>
      </c>
      <c r="D364" s="10" t="n">
        <v>116</v>
      </c>
      <c r="E364" s="10" t="n">
        <v>2900</v>
      </c>
      <c r="F364" s="10" t="n">
        <v>12.6</v>
      </c>
      <c r="G364" s="11" t="n">
        <v>81</v>
      </c>
      <c r="H364" s="11" t="s">
        <v>67</v>
      </c>
      <c r="I364" s="11" t="s">
        <v>328</v>
      </c>
    </row>
    <row r="365" customFormat="false" ht="15" hidden="false" customHeight="true" outlineLevel="0" collapsed="false">
      <c r="A365" s="10" t="n">
        <v>24.2</v>
      </c>
      <c r="B365" s="11" t="n">
        <v>6</v>
      </c>
      <c r="C365" s="10" t="n">
        <v>146</v>
      </c>
      <c r="D365" s="10" t="n">
        <v>120</v>
      </c>
      <c r="E365" s="10" t="n">
        <v>2930</v>
      </c>
      <c r="F365" s="10" t="n">
        <v>13.8</v>
      </c>
      <c r="G365" s="11" t="n">
        <v>81</v>
      </c>
      <c r="H365" s="11" t="s">
        <v>67</v>
      </c>
      <c r="I365" s="11" t="s">
        <v>329</v>
      </c>
    </row>
    <row r="366" customFormat="false" ht="15" hidden="false" customHeight="true" outlineLevel="0" collapsed="false">
      <c r="A366" s="10" t="n">
        <v>22.4</v>
      </c>
      <c r="B366" s="11" t="n">
        <v>6</v>
      </c>
      <c r="C366" s="10" t="n">
        <v>231</v>
      </c>
      <c r="D366" s="10" t="n">
        <v>110</v>
      </c>
      <c r="E366" s="10" t="n">
        <v>3415</v>
      </c>
      <c r="F366" s="10" t="n">
        <v>15.8</v>
      </c>
      <c r="G366" s="11" t="n">
        <v>81</v>
      </c>
      <c r="H366" s="11" t="s">
        <v>52</v>
      </c>
      <c r="I366" s="11" t="s">
        <v>180</v>
      </c>
    </row>
    <row r="367" customFormat="false" ht="15" hidden="false" customHeight="true" outlineLevel="0" collapsed="false">
      <c r="A367" s="10" t="n">
        <v>26.6</v>
      </c>
      <c r="B367" s="11" t="n">
        <v>8</v>
      </c>
      <c r="C367" s="10" t="n">
        <v>350</v>
      </c>
      <c r="D367" s="10" t="n">
        <v>105</v>
      </c>
      <c r="E367" s="10" t="n">
        <v>3725</v>
      </c>
      <c r="F367" s="10" t="n">
        <v>19</v>
      </c>
      <c r="G367" s="11" t="n">
        <v>81</v>
      </c>
      <c r="H367" s="11" t="s">
        <v>52</v>
      </c>
      <c r="I367" s="11" t="s">
        <v>330</v>
      </c>
    </row>
    <row r="368" customFormat="false" ht="15" hidden="false" customHeight="true" outlineLevel="0" collapsed="false">
      <c r="A368" s="10" t="n">
        <v>20.2</v>
      </c>
      <c r="B368" s="11" t="n">
        <v>6</v>
      </c>
      <c r="C368" s="10" t="n">
        <v>200</v>
      </c>
      <c r="D368" s="10" t="n">
        <v>88</v>
      </c>
      <c r="E368" s="10" t="n">
        <v>3060</v>
      </c>
      <c r="F368" s="10" t="n">
        <v>17.1</v>
      </c>
      <c r="G368" s="11" t="n">
        <v>81</v>
      </c>
      <c r="H368" s="11" t="s">
        <v>52</v>
      </c>
      <c r="I368" s="11" t="s">
        <v>331</v>
      </c>
    </row>
    <row r="369" customFormat="false" ht="15" hidden="false" customHeight="true" outlineLevel="0" collapsed="false">
      <c r="A369" s="10" t="n">
        <v>17.6</v>
      </c>
      <c r="B369" s="11" t="n">
        <v>6</v>
      </c>
      <c r="C369" s="10" t="n">
        <v>225</v>
      </c>
      <c r="D369" s="10" t="n">
        <v>85</v>
      </c>
      <c r="E369" s="10" t="n">
        <v>3465</v>
      </c>
      <c r="F369" s="10" t="n">
        <v>16.6</v>
      </c>
      <c r="G369" s="11" t="n">
        <v>81</v>
      </c>
      <c r="H369" s="11" t="s">
        <v>52</v>
      </c>
      <c r="I369" s="11" t="s">
        <v>332</v>
      </c>
    </row>
    <row r="370" customFormat="false" ht="15" hidden="false" customHeight="true" outlineLevel="0" collapsed="false">
      <c r="A370" s="10" t="n">
        <v>28</v>
      </c>
      <c r="B370" s="11" t="n">
        <v>4</v>
      </c>
      <c r="C370" s="10" t="n">
        <v>112</v>
      </c>
      <c r="D370" s="10" t="n">
        <v>88</v>
      </c>
      <c r="E370" s="10" t="n">
        <v>2605</v>
      </c>
      <c r="F370" s="10" t="n">
        <v>19.6</v>
      </c>
      <c r="G370" s="11" t="n">
        <v>82</v>
      </c>
      <c r="H370" s="11" t="s">
        <v>52</v>
      </c>
      <c r="I370" s="11" t="s">
        <v>333</v>
      </c>
    </row>
    <row r="371" customFormat="false" ht="15" hidden="false" customHeight="true" outlineLevel="0" collapsed="false">
      <c r="A371" s="10" t="n">
        <v>27</v>
      </c>
      <c r="B371" s="11" t="n">
        <v>4</v>
      </c>
      <c r="C371" s="10" t="n">
        <v>112</v>
      </c>
      <c r="D371" s="10" t="n">
        <v>88</v>
      </c>
      <c r="E371" s="10" t="n">
        <v>2640</v>
      </c>
      <c r="F371" s="10" t="n">
        <v>18.6</v>
      </c>
      <c r="G371" s="11" t="n">
        <v>82</v>
      </c>
      <c r="H371" s="11" t="s">
        <v>52</v>
      </c>
      <c r="I371" s="11" t="s">
        <v>334</v>
      </c>
    </row>
    <row r="372" customFormat="false" ht="15" hidden="false" customHeight="true" outlineLevel="0" collapsed="false">
      <c r="A372" s="10" t="n">
        <v>34</v>
      </c>
      <c r="B372" s="11" t="n">
        <v>4</v>
      </c>
      <c r="C372" s="10" t="n">
        <v>112</v>
      </c>
      <c r="D372" s="10" t="n">
        <v>88</v>
      </c>
      <c r="E372" s="10" t="n">
        <v>2395</v>
      </c>
      <c r="F372" s="10" t="n">
        <v>18</v>
      </c>
      <c r="G372" s="11" t="n">
        <v>82</v>
      </c>
      <c r="H372" s="11" t="s">
        <v>52</v>
      </c>
      <c r="I372" s="11" t="s">
        <v>335</v>
      </c>
    </row>
    <row r="373" customFormat="false" ht="15" hidden="false" customHeight="true" outlineLevel="0" collapsed="false">
      <c r="A373" s="10" t="n">
        <v>31</v>
      </c>
      <c r="B373" s="11" t="n">
        <v>4</v>
      </c>
      <c r="C373" s="10" t="n">
        <v>112</v>
      </c>
      <c r="D373" s="10" t="n">
        <v>85</v>
      </c>
      <c r="E373" s="10" t="n">
        <v>2575</v>
      </c>
      <c r="F373" s="10" t="n">
        <v>16.2</v>
      </c>
      <c r="G373" s="11" t="n">
        <v>82</v>
      </c>
      <c r="H373" s="11" t="s">
        <v>52</v>
      </c>
      <c r="I373" s="11" t="s">
        <v>336</v>
      </c>
    </row>
    <row r="374" customFormat="false" ht="15" hidden="false" customHeight="true" outlineLevel="0" collapsed="false">
      <c r="A374" s="10" t="n">
        <v>29</v>
      </c>
      <c r="B374" s="11" t="n">
        <v>4</v>
      </c>
      <c r="C374" s="10" t="n">
        <v>135</v>
      </c>
      <c r="D374" s="10" t="n">
        <v>84</v>
      </c>
      <c r="E374" s="10" t="n">
        <v>2525</v>
      </c>
      <c r="F374" s="10" t="n">
        <v>16</v>
      </c>
      <c r="G374" s="11" t="n">
        <v>82</v>
      </c>
      <c r="H374" s="11" t="s">
        <v>52</v>
      </c>
      <c r="I374" s="11" t="s">
        <v>337</v>
      </c>
    </row>
    <row r="375" customFormat="false" ht="15" hidden="false" customHeight="true" outlineLevel="0" collapsed="false">
      <c r="A375" s="10" t="n">
        <v>27</v>
      </c>
      <c r="B375" s="11" t="n">
        <v>4</v>
      </c>
      <c r="C375" s="10" t="n">
        <v>151</v>
      </c>
      <c r="D375" s="10" t="n">
        <v>90</v>
      </c>
      <c r="E375" s="10" t="n">
        <v>2735</v>
      </c>
      <c r="F375" s="10" t="n">
        <v>18</v>
      </c>
      <c r="G375" s="11" t="n">
        <v>82</v>
      </c>
      <c r="H375" s="11" t="s">
        <v>52</v>
      </c>
      <c r="I375" s="11" t="s">
        <v>290</v>
      </c>
    </row>
    <row r="376" customFormat="false" ht="15" hidden="false" customHeight="true" outlineLevel="0" collapsed="false">
      <c r="A376" s="10" t="n">
        <v>24</v>
      </c>
      <c r="B376" s="11" t="n">
        <v>4</v>
      </c>
      <c r="C376" s="10" t="n">
        <v>140</v>
      </c>
      <c r="D376" s="10" t="n">
        <v>92</v>
      </c>
      <c r="E376" s="10" t="n">
        <v>2865</v>
      </c>
      <c r="F376" s="10" t="n">
        <v>16.4</v>
      </c>
      <c r="G376" s="11" t="n">
        <v>82</v>
      </c>
      <c r="H376" s="11" t="s">
        <v>52</v>
      </c>
      <c r="I376" s="11" t="s">
        <v>338</v>
      </c>
    </row>
    <row r="377" customFormat="false" ht="15" hidden="false" customHeight="true" outlineLevel="0" collapsed="false">
      <c r="A377" s="10" t="n">
        <v>23</v>
      </c>
      <c r="B377" s="11" t="n">
        <v>4</v>
      </c>
      <c r="C377" s="10" t="n">
        <v>151</v>
      </c>
      <c r="D377" s="10" t="n">
        <v>104.469387755102</v>
      </c>
      <c r="E377" s="10" t="n">
        <v>3035</v>
      </c>
      <c r="F377" s="10" t="n">
        <v>20.5</v>
      </c>
      <c r="G377" s="11" t="n">
        <v>82</v>
      </c>
      <c r="H377" s="11" t="s">
        <v>52</v>
      </c>
      <c r="I377" s="11" t="s">
        <v>339</v>
      </c>
    </row>
    <row r="378" customFormat="false" ht="15" hidden="false" customHeight="true" outlineLevel="0" collapsed="false">
      <c r="A378" s="10" t="n">
        <v>36</v>
      </c>
      <c r="B378" s="11" t="n">
        <v>4</v>
      </c>
      <c r="C378" s="10" t="n">
        <v>105</v>
      </c>
      <c r="D378" s="10" t="n">
        <v>74</v>
      </c>
      <c r="E378" s="10" t="n">
        <v>1980</v>
      </c>
      <c r="F378" s="10" t="n">
        <v>15.3</v>
      </c>
      <c r="G378" s="11" t="n">
        <v>82</v>
      </c>
      <c r="H378" s="11" t="s">
        <v>73</v>
      </c>
      <c r="I378" s="11" t="s">
        <v>340</v>
      </c>
    </row>
    <row r="379" customFormat="false" ht="15" hidden="false" customHeight="true" outlineLevel="0" collapsed="false">
      <c r="A379" s="10" t="n">
        <v>37</v>
      </c>
      <c r="B379" s="11" t="n">
        <v>4</v>
      </c>
      <c r="C379" s="10" t="n">
        <v>91</v>
      </c>
      <c r="D379" s="10" t="n">
        <v>68</v>
      </c>
      <c r="E379" s="10" t="n">
        <v>2025</v>
      </c>
      <c r="F379" s="10" t="n">
        <v>18.2</v>
      </c>
      <c r="G379" s="11" t="n">
        <v>82</v>
      </c>
      <c r="H379" s="11" t="s">
        <v>67</v>
      </c>
      <c r="I379" s="11" t="s">
        <v>341</v>
      </c>
    </row>
    <row r="380" customFormat="false" ht="15" hidden="false" customHeight="true" outlineLevel="0" collapsed="false">
      <c r="A380" s="10" t="n">
        <v>31</v>
      </c>
      <c r="B380" s="11" t="n">
        <v>4</v>
      </c>
      <c r="C380" s="10" t="n">
        <v>91</v>
      </c>
      <c r="D380" s="10" t="n">
        <v>68</v>
      </c>
      <c r="E380" s="10" t="n">
        <v>1970</v>
      </c>
      <c r="F380" s="10" t="n">
        <v>17.6</v>
      </c>
      <c r="G380" s="11" t="n">
        <v>82</v>
      </c>
      <c r="H380" s="11" t="s">
        <v>67</v>
      </c>
      <c r="I380" s="11" t="s">
        <v>342</v>
      </c>
    </row>
    <row r="381" customFormat="false" ht="15" hidden="false" customHeight="true" outlineLevel="0" collapsed="false">
      <c r="A381" s="10" t="n">
        <v>38</v>
      </c>
      <c r="B381" s="11" t="n">
        <v>4</v>
      </c>
      <c r="C381" s="10" t="n">
        <v>105</v>
      </c>
      <c r="D381" s="10" t="n">
        <v>63</v>
      </c>
      <c r="E381" s="10" t="n">
        <v>2125</v>
      </c>
      <c r="F381" s="10" t="n">
        <v>14.7</v>
      </c>
      <c r="G381" s="11" t="n">
        <v>82</v>
      </c>
      <c r="H381" s="11" t="s">
        <v>52</v>
      </c>
      <c r="I381" s="11" t="s">
        <v>343</v>
      </c>
    </row>
    <row r="382" customFormat="false" ht="15" hidden="false" customHeight="true" outlineLevel="0" collapsed="false">
      <c r="A382" s="10" t="n">
        <v>36</v>
      </c>
      <c r="B382" s="11" t="n">
        <v>4</v>
      </c>
      <c r="C382" s="10" t="n">
        <v>98</v>
      </c>
      <c r="D382" s="10" t="n">
        <v>70</v>
      </c>
      <c r="E382" s="10" t="n">
        <v>2125</v>
      </c>
      <c r="F382" s="10" t="n">
        <v>17.3</v>
      </c>
      <c r="G382" s="11" t="n">
        <v>82</v>
      </c>
      <c r="H382" s="11" t="s">
        <v>52</v>
      </c>
      <c r="I382" s="11" t="s">
        <v>344</v>
      </c>
    </row>
    <row r="383" customFormat="false" ht="15" hidden="false" customHeight="true" outlineLevel="0" collapsed="false">
      <c r="A383" s="10" t="n">
        <v>36</v>
      </c>
      <c r="B383" s="11" t="n">
        <v>4</v>
      </c>
      <c r="C383" s="10" t="n">
        <v>120</v>
      </c>
      <c r="D383" s="10" t="n">
        <v>88</v>
      </c>
      <c r="E383" s="10" t="n">
        <v>2160</v>
      </c>
      <c r="F383" s="10" t="n">
        <v>14.5</v>
      </c>
      <c r="G383" s="11" t="n">
        <v>82</v>
      </c>
      <c r="H383" s="11" t="s">
        <v>67</v>
      </c>
      <c r="I383" s="11" t="s">
        <v>345</v>
      </c>
    </row>
    <row r="384" customFormat="false" ht="15" hidden="false" customHeight="true" outlineLevel="0" collapsed="false">
      <c r="A384" s="10" t="n">
        <v>36</v>
      </c>
      <c r="B384" s="11" t="n">
        <v>4</v>
      </c>
      <c r="C384" s="10" t="n">
        <v>107</v>
      </c>
      <c r="D384" s="10" t="n">
        <v>75</v>
      </c>
      <c r="E384" s="10" t="n">
        <v>2205</v>
      </c>
      <c r="F384" s="10" t="n">
        <v>14.5</v>
      </c>
      <c r="G384" s="11" t="n">
        <v>82</v>
      </c>
      <c r="H384" s="11" t="s">
        <v>67</v>
      </c>
      <c r="I384" s="11" t="s">
        <v>310</v>
      </c>
    </row>
    <row r="385" customFormat="false" ht="15" hidden="false" customHeight="true" outlineLevel="0" collapsed="false">
      <c r="A385" s="10" t="n">
        <v>34</v>
      </c>
      <c r="B385" s="11" t="n">
        <v>4</v>
      </c>
      <c r="C385" s="10" t="n">
        <v>108</v>
      </c>
      <c r="D385" s="10" t="n">
        <v>70</v>
      </c>
      <c r="E385" s="10" t="n">
        <v>2245</v>
      </c>
      <c r="F385" s="10" t="n">
        <v>16.9</v>
      </c>
      <c r="G385" s="11" t="n">
        <v>82</v>
      </c>
      <c r="H385" s="11" t="s">
        <v>67</v>
      </c>
      <c r="I385" s="11" t="s">
        <v>186</v>
      </c>
    </row>
    <row r="386" customFormat="false" ht="15" hidden="false" customHeight="true" outlineLevel="0" collapsed="false">
      <c r="A386" s="10" t="n">
        <v>38</v>
      </c>
      <c r="B386" s="11" t="n">
        <v>4</v>
      </c>
      <c r="C386" s="10" t="n">
        <v>91</v>
      </c>
      <c r="D386" s="10" t="n">
        <v>67</v>
      </c>
      <c r="E386" s="10" t="n">
        <v>1965</v>
      </c>
      <c r="F386" s="10" t="n">
        <v>15</v>
      </c>
      <c r="G386" s="11" t="n">
        <v>82</v>
      </c>
      <c r="H386" s="11" t="s">
        <v>67</v>
      </c>
      <c r="I386" s="11" t="s">
        <v>173</v>
      </c>
    </row>
    <row r="387" customFormat="false" ht="15" hidden="false" customHeight="true" outlineLevel="0" collapsed="false">
      <c r="A387" s="10" t="n">
        <v>32</v>
      </c>
      <c r="B387" s="11" t="n">
        <v>4</v>
      </c>
      <c r="C387" s="10" t="n">
        <v>91</v>
      </c>
      <c r="D387" s="10" t="n">
        <v>67</v>
      </c>
      <c r="E387" s="10" t="n">
        <v>1965</v>
      </c>
      <c r="F387" s="10" t="n">
        <v>15.7</v>
      </c>
      <c r="G387" s="11" t="n">
        <v>82</v>
      </c>
      <c r="H387" s="11" t="s">
        <v>67</v>
      </c>
      <c r="I387" s="11" t="s">
        <v>346</v>
      </c>
    </row>
    <row r="388" customFormat="false" ht="15" hidden="false" customHeight="true" outlineLevel="0" collapsed="false">
      <c r="A388" s="10" t="n">
        <v>38</v>
      </c>
      <c r="B388" s="11" t="n">
        <v>4</v>
      </c>
      <c r="C388" s="10" t="n">
        <v>91</v>
      </c>
      <c r="D388" s="10" t="n">
        <v>67</v>
      </c>
      <c r="E388" s="10" t="n">
        <v>1995</v>
      </c>
      <c r="F388" s="10" t="n">
        <v>16.2</v>
      </c>
      <c r="G388" s="11" t="n">
        <v>82</v>
      </c>
      <c r="H388" s="11" t="s">
        <v>67</v>
      </c>
      <c r="I388" s="11" t="s">
        <v>347</v>
      </c>
    </row>
    <row r="389" customFormat="false" ht="15" hidden="false" customHeight="true" outlineLevel="0" collapsed="false">
      <c r="A389" s="10" t="n">
        <v>25</v>
      </c>
      <c r="B389" s="11" t="n">
        <v>6</v>
      </c>
      <c r="C389" s="10" t="n">
        <v>181</v>
      </c>
      <c r="D389" s="10" t="n">
        <v>110</v>
      </c>
      <c r="E389" s="10" t="n">
        <v>2945</v>
      </c>
      <c r="F389" s="10" t="n">
        <v>16.4</v>
      </c>
      <c r="G389" s="11" t="n">
        <v>82</v>
      </c>
      <c r="H389" s="11" t="s">
        <v>52</v>
      </c>
      <c r="I389" s="11" t="s">
        <v>348</v>
      </c>
    </row>
    <row r="390" customFormat="false" ht="15" hidden="false" customHeight="true" outlineLevel="0" collapsed="false">
      <c r="A390" s="10" t="n">
        <v>38</v>
      </c>
      <c r="B390" s="11" t="n">
        <v>6</v>
      </c>
      <c r="C390" s="10" t="n">
        <v>262</v>
      </c>
      <c r="D390" s="10" t="n">
        <v>85</v>
      </c>
      <c r="E390" s="10" t="n">
        <v>3015</v>
      </c>
      <c r="F390" s="10" t="n">
        <v>17</v>
      </c>
      <c r="G390" s="11" t="n">
        <v>82</v>
      </c>
      <c r="H390" s="11" t="s">
        <v>52</v>
      </c>
      <c r="I390" s="11" t="s">
        <v>349</v>
      </c>
    </row>
    <row r="391" customFormat="false" ht="15" hidden="false" customHeight="true" outlineLevel="0" collapsed="false">
      <c r="A391" s="10" t="n">
        <v>26</v>
      </c>
      <c r="B391" s="11" t="n">
        <v>4</v>
      </c>
      <c r="C391" s="10" t="n">
        <v>156</v>
      </c>
      <c r="D391" s="10" t="n">
        <v>92</v>
      </c>
      <c r="E391" s="10" t="n">
        <v>2585</v>
      </c>
      <c r="F391" s="10" t="n">
        <v>14.5</v>
      </c>
      <c r="G391" s="11" t="n">
        <v>82</v>
      </c>
      <c r="H391" s="11" t="s">
        <v>52</v>
      </c>
      <c r="I391" s="11" t="s">
        <v>350</v>
      </c>
    </row>
    <row r="392" customFormat="false" ht="15" hidden="false" customHeight="true" outlineLevel="0" collapsed="false">
      <c r="A392" s="10" t="n">
        <v>22</v>
      </c>
      <c r="B392" s="11" t="n">
        <v>6</v>
      </c>
      <c r="C392" s="10" t="n">
        <v>232</v>
      </c>
      <c r="D392" s="10" t="n">
        <v>112</v>
      </c>
      <c r="E392" s="10" t="n">
        <v>2835</v>
      </c>
      <c r="F392" s="10" t="n">
        <v>14.7</v>
      </c>
      <c r="G392" s="11" t="n">
        <v>82</v>
      </c>
      <c r="H392" s="11" t="s">
        <v>52</v>
      </c>
      <c r="I392" s="11" t="s">
        <v>351</v>
      </c>
    </row>
    <row r="393" customFormat="false" ht="15" hidden="false" customHeight="true" outlineLevel="0" collapsed="false">
      <c r="A393" s="10" t="n">
        <v>32</v>
      </c>
      <c r="B393" s="11" t="n">
        <v>4</v>
      </c>
      <c r="C393" s="10" t="n">
        <v>144</v>
      </c>
      <c r="D393" s="10" t="n">
        <v>96</v>
      </c>
      <c r="E393" s="10" t="n">
        <v>2665</v>
      </c>
      <c r="F393" s="10" t="n">
        <v>13.9</v>
      </c>
      <c r="G393" s="11" t="n">
        <v>82</v>
      </c>
      <c r="H393" s="11" t="s">
        <v>67</v>
      </c>
      <c r="I393" s="11" t="s">
        <v>352</v>
      </c>
    </row>
    <row r="394" customFormat="false" ht="15" hidden="false" customHeight="true" outlineLevel="0" collapsed="false">
      <c r="A394" s="10" t="n">
        <v>36</v>
      </c>
      <c r="B394" s="11" t="n">
        <v>4</v>
      </c>
      <c r="C394" s="10" t="n">
        <v>135</v>
      </c>
      <c r="D394" s="10" t="n">
        <v>84</v>
      </c>
      <c r="E394" s="10" t="n">
        <v>2370</v>
      </c>
      <c r="F394" s="10" t="n">
        <v>13</v>
      </c>
      <c r="G394" s="11" t="n">
        <v>82</v>
      </c>
      <c r="H394" s="11" t="s">
        <v>52</v>
      </c>
      <c r="I394" s="11" t="s">
        <v>353</v>
      </c>
    </row>
    <row r="395" customFormat="false" ht="15" hidden="false" customHeight="true" outlineLevel="0" collapsed="false">
      <c r="A395" s="10" t="n">
        <v>27</v>
      </c>
      <c r="B395" s="11" t="n">
        <v>4</v>
      </c>
      <c r="C395" s="10" t="n">
        <v>151</v>
      </c>
      <c r="D395" s="10" t="n">
        <v>90</v>
      </c>
      <c r="E395" s="10" t="n">
        <v>2950</v>
      </c>
      <c r="F395" s="10" t="n">
        <v>17.3</v>
      </c>
      <c r="G395" s="11" t="n">
        <v>82</v>
      </c>
      <c r="H395" s="11" t="s">
        <v>52</v>
      </c>
      <c r="I395" s="11" t="s">
        <v>354</v>
      </c>
    </row>
    <row r="396" customFormat="false" ht="15" hidden="false" customHeight="true" outlineLevel="0" collapsed="false">
      <c r="A396" s="10" t="n">
        <v>27</v>
      </c>
      <c r="B396" s="11" t="n">
        <v>4</v>
      </c>
      <c r="C396" s="10" t="n">
        <v>140</v>
      </c>
      <c r="D396" s="10" t="n">
        <v>86</v>
      </c>
      <c r="E396" s="10" t="n">
        <v>2790</v>
      </c>
      <c r="F396" s="10" t="n">
        <v>15.6</v>
      </c>
      <c r="G396" s="11" t="n">
        <v>82</v>
      </c>
      <c r="H396" s="11" t="s">
        <v>52</v>
      </c>
      <c r="I396" s="11" t="s">
        <v>355</v>
      </c>
    </row>
    <row r="397" customFormat="false" ht="15" hidden="false" customHeight="true" outlineLevel="0" collapsed="false">
      <c r="A397" s="10" t="n">
        <v>44</v>
      </c>
      <c r="B397" s="11" t="n">
        <v>4</v>
      </c>
      <c r="C397" s="10" t="n">
        <v>97</v>
      </c>
      <c r="D397" s="10" t="n">
        <v>52</v>
      </c>
      <c r="E397" s="10" t="n">
        <v>2130</v>
      </c>
      <c r="F397" s="10" t="n">
        <v>24.6</v>
      </c>
      <c r="G397" s="11" t="n">
        <v>82</v>
      </c>
      <c r="H397" s="11" t="s">
        <v>73</v>
      </c>
      <c r="I397" s="11" t="s">
        <v>356</v>
      </c>
    </row>
    <row r="398" customFormat="false" ht="15" hidden="false" customHeight="true" outlineLevel="0" collapsed="false">
      <c r="A398" s="10" t="n">
        <v>32</v>
      </c>
      <c r="B398" s="11" t="n">
        <v>4</v>
      </c>
      <c r="C398" s="10" t="n">
        <v>135</v>
      </c>
      <c r="D398" s="10" t="n">
        <v>84</v>
      </c>
      <c r="E398" s="10" t="n">
        <v>2295</v>
      </c>
      <c r="F398" s="10" t="n">
        <v>11.6</v>
      </c>
      <c r="G398" s="11" t="n">
        <v>82</v>
      </c>
      <c r="H398" s="11" t="s">
        <v>52</v>
      </c>
      <c r="I398" s="11" t="s">
        <v>357</v>
      </c>
    </row>
    <row r="399" customFormat="false" ht="15" hidden="false" customHeight="true" outlineLevel="0" collapsed="false">
      <c r="A399" s="10" t="n">
        <v>28</v>
      </c>
      <c r="B399" s="11" t="n">
        <v>4</v>
      </c>
      <c r="C399" s="10" t="n">
        <v>120</v>
      </c>
      <c r="D399" s="10" t="n">
        <v>79</v>
      </c>
      <c r="E399" s="10" t="n">
        <v>2625</v>
      </c>
      <c r="F399" s="10" t="n">
        <v>18.6</v>
      </c>
      <c r="G399" s="11" t="n">
        <v>82</v>
      </c>
      <c r="H399" s="11" t="s">
        <v>52</v>
      </c>
      <c r="I399" s="11" t="s">
        <v>358</v>
      </c>
    </row>
    <row r="400" customFormat="false" ht="15" hidden="false" customHeight="true" outlineLevel="0" collapsed="false">
      <c r="A400" s="10" t="n">
        <v>31</v>
      </c>
      <c r="B400" s="11" t="n">
        <v>4</v>
      </c>
      <c r="C400" s="10" t="n">
        <v>119</v>
      </c>
      <c r="D400" s="10" t="n">
        <v>82</v>
      </c>
      <c r="E400" s="10" t="n">
        <v>2720</v>
      </c>
      <c r="F400" s="10" t="n">
        <v>19.4</v>
      </c>
      <c r="G400" s="11" t="n">
        <v>82</v>
      </c>
      <c r="H400" s="11" t="s">
        <v>52</v>
      </c>
      <c r="I400" s="11" t="s">
        <v>359</v>
      </c>
    </row>
  </sheetData>
  <mergeCells count="1">
    <mergeCell ref="A1:I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18"/>
    <col collapsed="false" customWidth="true" hidden="false" outlineLevel="0" max="3" min="3" style="1" width="6"/>
    <col collapsed="false" customWidth="true" hidden="false" outlineLevel="0" max="4" min="4" style="1" width="55"/>
    <col collapsed="false" customWidth="true" hidden="false" outlineLevel="0" max="5" min="5" style="1" width="6"/>
  </cols>
  <sheetData>
    <row r="1" customFormat="false" ht="25.5" hidden="false" customHeight="true" outlineLevel="0" collapsed="false">
      <c r="A1" s="2" t="s">
        <v>360</v>
      </c>
      <c r="B1" s="2"/>
      <c r="C1" s="2"/>
      <c r="D1" s="2"/>
    </row>
    <row r="3" customFormat="false" ht="18" hidden="false" customHeight="true" outlineLevel="0" collapsed="false">
      <c r="A3" s="4" t="s">
        <v>361</v>
      </c>
      <c r="B3" s="4"/>
      <c r="C3" s="4"/>
      <c r="D3" s="4"/>
    </row>
    <row r="4" customFormat="false" ht="15" hidden="false" customHeight="true" outlineLevel="0" collapsed="false">
      <c r="A4" s="3" t="s">
        <v>362</v>
      </c>
      <c r="B4" s="3"/>
      <c r="C4" s="3"/>
      <c r="D4" s="3"/>
    </row>
    <row r="5" customFormat="false" ht="15" hidden="false" customHeight="true" outlineLevel="0" collapsed="false">
      <c r="A5" s="3"/>
      <c r="B5" s="3"/>
      <c r="C5" s="3"/>
      <c r="D5" s="3"/>
    </row>
    <row r="6" customFormat="false" ht="15" hidden="false" customHeight="true" outlineLevel="0" collapsed="false">
      <c r="A6" s="3"/>
      <c r="B6" s="3"/>
      <c r="C6" s="3"/>
      <c r="D6" s="3"/>
    </row>
    <row r="8" customFormat="false" ht="15" hidden="false" customHeight="true" outlineLevel="0" collapsed="false">
      <c r="A8" s="12" t="s">
        <v>363</v>
      </c>
      <c r="B8" s="13" t="s">
        <v>364</v>
      </c>
    </row>
    <row r="9" customFormat="false" ht="15" hidden="false" customHeight="true" outlineLevel="0" collapsed="false">
      <c r="A9" s="12" t="s">
        <v>365</v>
      </c>
      <c r="B9" s="13" t="s">
        <v>366</v>
      </c>
    </row>
    <row r="11" customFormat="false" ht="18" hidden="false" customHeight="true" outlineLevel="0" collapsed="false">
      <c r="A11" s="4" t="s">
        <v>367</v>
      </c>
      <c r="B11" s="4"/>
      <c r="C11" s="4"/>
      <c r="D11" s="4"/>
    </row>
    <row r="12" customFormat="false" ht="15" hidden="false" customHeight="true" outlineLevel="0" collapsed="false">
      <c r="A12" s="12" t="s">
        <v>368</v>
      </c>
      <c r="B12" s="14" t="n">
        <f aca="false">COUNT(Data!$A$3:$A$400)</f>
        <v>398</v>
      </c>
    </row>
    <row r="13" customFormat="false" ht="15" hidden="false" customHeight="true" outlineLevel="0" collapsed="false">
      <c r="A13" s="12" t="s">
        <v>369</v>
      </c>
      <c r="B13" s="15" t="n">
        <f aca="false">AVERAGE(Data!$A$3:$A$400)</f>
        <v>23.5145728643216</v>
      </c>
    </row>
    <row r="14" customFormat="false" ht="15" hidden="false" customHeight="true" outlineLevel="0" collapsed="false">
      <c r="A14" s="12" t="s">
        <v>370</v>
      </c>
      <c r="B14" s="15" t="n">
        <f aca="false">STDEV(Data!$A$3:$A$400)</f>
        <v>7.81598431256578</v>
      </c>
    </row>
    <row r="16" customFormat="false" ht="18" hidden="false" customHeight="true" outlineLevel="0" collapsed="false">
      <c r="A16" s="4" t="s">
        <v>371</v>
      </c>
      <c r="B16" s="4"/>
      <c r="C16" s="4"/>
      <c r="D16" s="4"/>
    </row>
    <row r="17" customFormat="false" ht="15" hidden="false" customHeight="true" outlineLevel="0" collapsed="false">
      <c r="A17" s="12" t="s">
        <v>372</v>
      </c>
      <c r="B17" s="7" t="n">
        <v>25</v>
      </c>
    </row>
    <row r="18" customFormat="false" ht="15" hidden="false" customHeight="true" outlineLevel="0" collapsed="false">
      <c r="A18" s="12" t="s">
        <v>373</v>
      </c>
      <c r="B18" s="15" t="n">
        <f aca="false">B14/SQRT(B12)</f>
        <v>0.39177989274269</v>
      </c>
    </row>
    <row r="19" customFormat="false" ht="15" hidden="false" customHeight="true" outlineLevel="0" collapsed="false">
      <c r="A19" s="12" t="s">
        <v>374</v>
      </c>
      <c r="B19" s="16" t="n">
        <f aca="false">(B13-B17)/B18</f>
        <v>-3.79148384895286</v>
      </c>
    </row>
    <row r="20" customFormat="false" ht="15" hidden="false" customHeight="true" outlineLevel="0" collapsed="false">
      <c r="A20" s="12" t="s">
        <v>375</v>
      </c>
      <c r="B20" s="14" t="n">
        <f aca="false">B12-1</f>
        <v>397</v>
      </c>
    </row>
    <row r="22" customFormat="false" ht="18" hidden="false" customHeight="true" outlineLevel="0" collapsed="false">
      <c r="A22" s="4" t="s">
        <v>376</v>
      </c>
      <c r="B22" s="4"/>
      <c r="C22" s="4"/>
      <c r="D22" s="4"/>
    </row>
    <row r="23" customFormat="false" ht="15" hidden="false" customHeight="true" outlineLevel="0" collapsed="false">
      <c r="A23" s="12" t="s">
        <v>377</v>
      </c>
      <c r="B23" s="17" t="n">
        <f aca="false">TDIST(ABS(B19),B20,2)</f>
        <v>0.000173023336258853</v>
      </c>
    </row>
    <row r="24" customFormat="false" ht="15" hidden="false" customHeight="true" outlineLevel="0" collapsed="false">
      <c r="A24" s="12" t="s">
        <v>378</v>
      </c>
      <c r="B24" s="7" t="n">
        <v>0.05</v>
      </c>
    </row>
    <row r="26" customFormat="false" ht="15" hidden="false" customHeight="true" outlineLevel="0" collapsed="false">
      <c r="A26" s="12" t="s">
        <v>40</v>
      </c>
      <c r="B26" s="18" t="str">
        <f aca="false">IF(B23&lt;B24,"Reject H0: Average MPG is significantly different from 25","Fail to reject H0: No significant difference from 25")</f>
        <v>Reject H0: Average MPG is significantly different from 25</v>
      </c>
      <c r="C26" s="18"/>
      <c r="D26" s="18"/>
    </row>
    <row r="28" customFormat="false" ht="18" hidden="false" customHeight="true" outlineLevel="0" collapsed="false">
      <c r="A28" s="4" t="s">
        <v>379</v>
      </c>
      <c r="B28" s="4"/>
      <c r="C28" s="4"/>
      <c r="D28" s="4"/>
    </row>
    <row r="29" customFormat="false" ht="15" hidden="false" customHeight="true" outlineLevel="0" collapsed="false">
      <c r="A29" s="3" t="s">
        <v>380</v>
      </c>
      <c r="B29" s="3"/>
      <c r="C29" s="3"/>
      <c r="D29" s="3"/>
    </row>
    <row r="30" customFormat="false" ht="15" hidden="false" customHeight="true" outlineLevel="0" collapsed="false">
      <c r="A30" s="3"/>
      <c r="B30" s="3"/>
      <c r="C30" s="3"/>
      <c r="D30" s="3"/>
    </row>
    <row r="32" customFormat="false" ht="18" hidden="false" customHeight="true" outlineLevel="0" collapsed="false">
      <c r="A32" s="4" t="s">
        <v>381</v>
      </c>
      <c r="B32" s="4"/>
      <c r="C32" s="4"/>
      <c r="D32" s="4"/>
    </row>
    <row r="33" customFormat="false" ht="60" hidden="false" customHeight="true" outlineLevel="0" collapsed="false">
      <c r="A33" s="19" t="str">
        <f aca="false">IF(B23&lt;B24,"There is statistically significant evidence that the population mean MPG differs from 25 at the 5% level. "&amp;IF(B19&lt;0,"The negative t-statistic suggests the true mean MPG is likely below 25.","The positive t-statistic suggests the true mean MPG is likely above 25."),"There is not enough statistical evidence to conclude the population mean MPG differs from 25 at the 5% level.")</f>
        <v>There is statistically significant evidence that the population mean MPG differs from 25 at the 5% level. The negative t-statistic suggests the true mean MPG is likely below 25.</v>
      </c>
      <c r="B33" s="19"/>
      <c r="C33" s="19"/>
      <c r="D33" s="19"/>
    </row>
    <row r="34" customFormat="false" ht="15" hidden="false" customHeight="true" outlineLevel="0" collapsed="false">
      <c r="A34" s="19"/>
      <c r="B34" s="19"/>
      <c r="C34" s="19"/>
      <c r="D34" s="19"/>
    </row>
    <row r="35" customFormat="false" ht="15" hidden="false" customHeight="true" outlineLevel="0" collapsed="false">
      <c r="A35" s="19"/>
      <c r="B35" s="19"/>
      <c r="C35" s="19"/>
      <c r="D35" s="19"/>
    </row>
    <row r="36" customFormat="false" ht="15" hidden="false" customHeight="true" outlineLevel="0" collapsed="false">
      <c r="A36" s="19"/>
      <c r="B36" s="19"/>
      <c r="C36" s="19"/>
      <c r="D36" s="19"/>
    </row>
  </sheetData>
  <mergeCells count="11">
    <mergeCell ref="A1:D1"/>
    <mergeCell ref="A3:D3"/>
    <mergeCell ref="A4:D6"/>
    <mergeCell ref="A11:D11"/>
    <mergeCell ref="A16:D16"/>
    <mergeCell ref="A22:D22"/>
    <mergeCell ref="B26:D26"/>
    <mergeCell ref="A28:D28"/>
    <mergeCell ref="A29:D30"/>
    <mergeCell ref="A32:D32"/>
    <mergeCell ref="A33:D3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18"/>
    <col collapsed="false" customWidth="true" hidden="false" outlineLevel="0" max="3" min="3" style="1" width="6"/>
    <col collapsed="false" customWidth="true" hidden="false" outlineLevel="0" max="4" min="4" style="1" width="55"/>
    <col collapsed="false" customWidth="true" hidden="false" outlineLevel="0" max="5" min="5" style="1" width="6"/>
    <col collapsed="false" customWidth="true" hidden="false" outlineLevel="0" max="7" min="6" style="1" width="12"/>
  </cols>
  <sheetData>
    <row r="1" customFormat="false" ht="25.5" hidden="false" customHeight="true" outlineLevel="0" collapsed="false">
      <c r="A1" s="2" t="s">
        <v>382</v>
      </c>
      <c r="B1" s="2"/>
      <c r="C1" s="2"/>
      <c r="D1" s="2"/>
    </row>
    <row r="3" customFormat="false" ht="18" hidden="false" customHeight="true" outlineLevel="0" collapsed="false">
      <c r="A3" s="4" t="s">
        <v>361</v>
      </c>
      <c r="B3" s="4"/>
      <c r="C3" s="4"/>
      <c r="D3" s="4"/>
    </row>
    <row r="4" customFormat="false" ht="15" hidden="false" customHeight="true" outlineLevel="0" collapsed="false">
      <c r="A4" s="3" t="s">
        <v>383</v>
      </c>
      <c r="B4" s="3"/>
      <c r="C4" s="3"/>
      <c r="D4" s="3"/>
    </row>
    <row r="5" customFormat="false" ht="15" hidden="false" customHeight="true" outlineLevel="0" collapsed="false">
      <c r="A5" s="3"/>
      <c r="B5" s="3"/>
      <c r="C5" s="3"/>
      <c r="D5" s="3"/>
    </row>
    <row r="6" customFormat="false" ht="15" hidden="false" customHeight="true" outlineLevel="0" collapsed="false">
      <c r="A6" s="3"/>
      <c r="B6" s="3"/>
      <c r="C6" s="3"/>
      <c r="D6" s="3"/>
    </row>
    <row r="8" customFormat="false" ht="15" hidden="false" customHeight="true" outlineLevel="0" collapsed="false">
      <c r="A8" s="12" t="s">
        <v>363</v>
      </c>
      <c r="B8" s="13" t="s">
        <v>384</v>
      </c>
    </row>
    <row r="9" customFormat="false" ht="15" hidden="false" customHeight="true" outlineLevel="0" collapsed="false">
      <c r="A9" s="12" t="s">
        <v>365</v>
      </c>
      <c r="B9" s="13" t="s">
        <v>385</v>
      </c>
    </row>
    <row r="11" customFormat="false" ht="18" hidden="false" customHeight="true" outlineLevel="0" collapsed="false">
      <c r="A11" s="4" t="s">
        <v>386</v>
      </c>
      <c r="B11" s="4"/>
      <c r="C11" s="4"/>
      <c r="D11" s="4"/>
    </row>
    <row r="12" customFormat="false" ht="15" hidden="false" customHeight="true" outlineLevel="0" collapsed="false">
      <c r="A12" s="3" t="s">
        <v>387</v>
      </c>
      <c r="B12" s="3"/>
      <c r="C12" s="3"/>
      <c r="D12" s="3"/>
    </row>
    <row r="13" customFormat="false" ht="18" hidden="false" customHeight="true" outlineLevel="0" collapsed="false">
      <c r="A13" s="4" t="s">
        <v>388</v>
      </c>
      <c r="B13" s="4"/>
      <c r="C13" s="4"/>
      <c r="D13" s="4"/>
      <c r="F13" s="20" t="s">
        <v>389</v>
      </c>
      <c r="G13" s="20" t="s">
        <v>390</v>
      </c>
    </row>
    <row r="14" customFormat="false" ht="15" hidden="false" customHeight="true" outlineLevel="0" collapsed="false">
      <c r="A14" s="12" t="s">
        <v>391</v>
      </c>
      <c r="B14" s="14" t="n">
        <f aca="false">COUNT(F14:F411)</f>
        <v>249</v>
      </c>
      <c r="F14" s="21" t="n">
        <f aca="false">IF(Data!$H3="usa",Data!$A3,"")</f>
        <v>18</v>
      </c>
      <c r="G14" s="1" t="str">
        <f aca="false">IF(Data!$H3="japan",Data!$A3,"")</f>
        <v/>
      </c>
    </row>
    <row r="15" customFormat="false" ht="15" hidden="false" customHeight="true" outlineLevel="0" collapsed="false">
      <c r="A15" s="12" t="s">
        <v>392</v>
      </c>
      <c r="B15" s="14" t="n">
        <f aca="false">COUNT(G14:G411)</f>
        <v>79</v>
      </c>
      <c r="F15" s="21" t="n">
        <f aca="false">IF(Data!$H4="usa",Data!$A4,"")</f>
        <v>15</v>
      </c>
      <c r="G15" s="1" t="str">
        <f aca="false">IF(Data!$H4="japan",Data!$A4,"")</f>
        <v/>
      </c>
    </row>
    <row r="16" customFormat="false" ht="15" hidden="false" customHeight="true" outlineLevel="0" collapsed="false">
      <c r="A16" s="12" t="s">
        <v>393</v>
      </c>
      <c r="B16" s="15" t="n">
        <f aca="false">AVERAGE(F14:F411)</f>
        <v>20.0835341365462</v>
      </c>
      <c r="F16" s="21" t="n">
        <f aca="false">IF(Data!$H5="usa",Data!$A5,"")</f>
        <v>18</v>
      </c>
      <c r="G16" s="1" t="str">
        <f aca="false">IF(Data!$H5="japan",Data!$A5,"")</f>
        <v/>
      </c>
    </row>
    <row r="17" customFormat="false" ht="15" hidden="false" customHeight="true" outlineLevel="0" collapsed="false">
      <c r="A17" s="12" t="s">
        <v>394</v>
      </c>
      <c r="B17" s="15" t="n">
        <f aca="false">AVERAGE(G14:G411)</f>
        <v>30.4506329113924</v>
      </c>
      <c r="F17" s="21" t="n">
        <f aca="false">IF(Data!$H6="usa",Data!$A6,"")</f>
        <v>16</v>
      </c>
      <c r="G17" s="1" t="str">
        <f aca="false">IF(Data!$H6="japan",Data!$A6,"")</f>
        <v/>
      </c>
    </row>
    <row r="18" customFormat="false" ht="15" hidden="false" customHeight="true" outlineLevel="0" collapsed="false">
      <c r="A18" s="12" t="s">
        <v>395</v>
      </c>
      <c r="B18" s="15" t="n">
        <f aca="false">STDEV(F14:F411)</f>
        <v>6.40289201604969</v>
      </c>
      <c r="F18" s="21" t="n">
        <f aca="false">IF(Data!$H7="usa",Data!$A7,"")</f>
        <v>17</v>
      </c>
      <c r="G18" s="1" t="str">
        <f aca="false">IF(Data!$H7="japan",Data!$A7,"")</f>
        <v/>
      </c>
    </row>
    <row r="19" customFormat="false" ht="15" hidden="false" customHeight="true" outlineLevel="0" collapsed="false">
      <c r="A19" s="12" t="s">
        <v>396</v>
      </c>
      <c r="B19" s="15" t="n">
        <f aca="false">STDEV(G14:G411)</f>
        <v>6.09004806973832</v>
      </c>
      <c r="F19" s="21" t="n">
        <f aca="false">IF(Data!$H8="usa",Data!$A8,"")</f>
        <v>15</v>
      </c>
      <c r="G19" s="1" t="str">
        <f aca="false">IF(Data!$H8="japan",Data!$A8,"")</f>
        <v/>
      </c>
    </row>
    <row r="20" customFormat="false" ht="15" hidden="false" customHeight="true" outlineLevel="0" collapsed="false">
      <c r="F20" s="21" t="n">
        <f aca="false">IF(Data!$H9="usa",Data!$A9,"")</f>
        <v>14</v>
      </c>
      <c r="G20" s="1" t="str">
        <f aca="false">IF(Data!$H9="japan",Data!$A9,"")</f>
        <v/>
      </c>
    </row>
    <row r="21" customFormat="false" ht="18" hidden="false" customHeight="true" outlineLevel="0" collapsed="false">
      <c r="A21" s="4" t="s">
        <v>397</v>
      </c>
      <c r="B21" s="4"/>
      <c r="C21" s="4"/>
      <c r="D21" s="4"/>
      <c r="F21" s="21" t="n">
        <f aca="false">IF(Data!$H10="usa",Data!$A10,"")</f>
        <v>14</v>
      </c>
      <c r="G21" s="1" t="str">
        <f aca="false">IF(Data!$H10="japan",Data!$A10,"")</f>
        <v/>
      </c>
    </row>
    <row r="22" customFormat="false" ht="15" hidden="false" customHeight="true" outlineLevel="0" collapsed="false">
      <c r="A22" s="22" t="s">
        <v>398</v>
      </c>
      <c r="B22" s="16" t="n">
        <f aca="false">(B16-B17)/SQRT((B18^2/B14)+(B19^2/B15))</f>
        <v>-13.0187784400548</v>
      </c>
      <c r="F22" s="21" t="n">
        <f aca="false">IF(Data!$H11="usa",Data!$A11,"")</f>
        <v>14</v>
      </c>
      <c r="G22" s="1" t="str">
        <f aca="false">IF(Data!$H11="japan",Data!$A11,"")</f>
        <v/>
      </c>
    </row>
    <row r="23" customFormat="false" ht="23.25" hidden="false" customHeight="true" outlineLevel="0" collapsed="false">
      <c r="A23" s="22" t="s">
        <v>399</v>
      </c>
      <c r="B23" s="23" t="n">
        <f aca="false">TTEST(F14:F411,G14:G411,2,3)</f>
        <v>1.01095353982824E-025</v>
      </c>
      <c r="C23" s="3" t="s">
        <v>400</v>
      </c>
      <c r="D23" s="3"/>
      <c r="F23" s="21" t="n">
        <f aca="false">IF(Data!$H12="usa",Data!$A12,"")</f>
        <v>15</v>
      </c>
      <c r="G23" s="1" t="str">
        <f aca="false">IF(Data!$H12="japan",Data!$A12,"")</f>
        <v/>
      </c>
    </row>
    <row r="24" customFormat="false" ht="15" hidden="false" customHeight="true" outlineLevel="0" collapsed="false">
      <c r="A24" s="12" t="s">
        <v>378</v>
      </c>
      <c r="B24" s="7" t="n">
        <v>0.05</v>
      </c>
      <c r="F24" s="21" t="n">
        <f aca="false">IF(Data!$H13="usa",Data!$A13,"")</f>
        <v>15</v>
      </c>
      <c r="G24" s="1" t="str">
        <f aca="false">IF(Data!$H13="japan",Data!$A13,"")</f>
        <v/>
      </c>
    </row>
    <row r="25" customFormat="false" ht="15" hidden="false" customHeight="true" outlineLevel="0" collapsed="false">
      <c r="F25" s="21" t="n">
        <f aca="false">IF(Data!$H14="usa",Data!$A14,"")</f>
        <v>14</v>
      </c>
      <c r="G25" s="1" t="str">
        <f aca="false">IF(Data!$H14="japan",Data!$A14,"")</f>
        <v/>
      </c>
    </row>
    <row r="26" customFormat="false" ht="15" hidden="false" customHeight="true" outlineLevel="0" collapsed="false">
      <c r="A26" s="12" t="s">
        <v>40</v>
      </c>
      <c r="B26" s="18" t="str">
        <f aca="false">IF(B23&lt;B24,"Reject H0: The true average MPG of USA and Japan cars is not the same.","Fail to reject H0: The true average MPG of USA and Japan cars is not statistically different.")</f>
        <v>Reject H0: The true average MPG of USA and Japan cars is not the same.</v>
      </c>
      <c r="C26" s="18"/>
      <c r="D26" s="18"/>
      <c r="F26" s="21" t="n">
        <f aca="false">IF(Data!$H15="usa",Data!$A15,"")</f>
        <v>15</v>
      </c>
      <c r="G26" s="1" t="str">
        <f aca="false">IF(Data!$H15="japan",Data!$A15,"")</f>
        <v/>
      </c>
    </row>
    <row r="27" customFormat="false" ht="15" hidden="false" customHeight="true" outlineLevel="0" collapsed="false">
      <c r="F27" s="21" t="n">
        <f aca="false">IF(Data!$H16="usa",Data!$A16,"")</f>
        <v>14</v>
      </c>
      <c r="G27" s="1" t="str">
        <f aca="false">IF(Data!$H16="japan",Data!$A16,"")</f>
        <v/>
      </c>
    </row>
    <row r="28" customFormat="false" ht="18" hidden="false" customHeight="true" outlineLevel="0" collapsed="false">
      <c r="A28" s="4" t="s">
        <v>379</v>
      </c>
      <c r="B28" s="4"/>
      <c r="C28" s="4"/>
      <c r="D28" s="4"/>
      <c r="F28" s="1" t="str">
        <f aca="false">IF(Data!$H17="usa",Data!$A17,"")</f>
        <v/>
      </c>
      <c r="G28" s="21" t="n">
        <f aca="false">IF(Data!$H17="japan",Data!$A17,"")</f>
        <v>24</v>
      </c>
    </row>
    <row r="29" customFormat="false" ht="15" hidden="false" customHeight="true" outlineLevel="0" collapsed="false">
      <c r="A29" s="3" t="s">
        <v>401</v>
      </c>
      <c r="B29" s="3"/>
      <c r="C29" s="3"/>
      <c r="D29" s="3"/>
      <c r="F29" s="21" t="n">
        <f aca="false">IF(Data!$H18="usa",Data!$A18,"")</f>
        <v>22</v>
      </c>
      <c r="G29" s="1" t="str">
        <f aca="false">IF(Data!$H18="japan",Data!$A18,"")</f>
        <v/>
      </c>
    </row>
    <row r="30" customFormat="false" ht="15" hidden="false" customHeight="true" outlineLevel="0" collapsed="false">
      <c r="A30" s="3"/>
      <c r="B30" s="3"/>
      <c r="C30" s="3"/>
      <c r="D30" s="3"/>
      <c r="F30" s="21" t="n">
        <f aca="false">IF(Data!$H19="usa",Data!$A19,"")</f>
        <v>18</v>
      </c>
      <c r="G30" s="1" t="str">
        <f aca="false">IF(Data!$H19="japan",Data!$A19,"")</f>
        <v/>
      </c>
    </row>
    <row r="31" customFormat="false" ht="15" hidden="false" customHeight="true" outlineLevel="0" collapsed="false">
      <c r="F31" s="21" t="n">
        <f aca="false">IF(Data!$H20="usa",Data!$A20,"")</f>
        <v>21</v>
      </c>
      <c r="G31" s="1" t="str">
        <f aca="false">IF(Data!$H20="japan",Data!$A20,"")</f>
        <v/>
      </c>
    </row>
    <row r="32" customFormat="false" ht="18" hidden="false" customHeight="true" outlineLevel="0" collapsed="false">
      <c r="A32" s="4" t="s">
        <v>381</v>
      </c>
      <c r="B32" s="4"/>
      <c r="C32" s="4"/>
      <c r="D32" s="4"/>
      <c r="F32" s="1" t="str">
        <f aca="false">IF(Data!$H21="usa",Data!$A21,"")</f>
        <v/>
      </c>
      <c r="G32" s="21" t="n">
        <f aca="false">IF(Data!$H21="japan",Data!$A21,"")</f>
        <v>27</v>
      </c>
    </row>
    <row r="33" customFormat="false" ht="60" hidden="false" customHeight="true" outlineLevel="0" collapsed="false">
      <c r="A33" s="19" t="str">
        <f aca="false">IF(B23&lt;B24,"A two-sample Welch's t-test found a statistically significant difference in mean MPG between USA and Japan (p &lt; 0.05). "&amp;IF(B17&gt;B16,"Japanese cars have higher average MPG than US cars.","US cars have higher average MPG than Japanese cars."),"No statistically significant difference in mean MPG was found between USA and Japan cars at the 5% level.")</f>
        <v>A two-sample Welch's t-test found a statistically significant difference in mean MPG between USA and Japan (p &lt; 0.05). Japanese cars have higher average MPG than US cars.</v>
      </c>
      <c r="B33" s="19"/>
      <c r="C33" s="19"/>
      <c r="D33" s="19"/>
      <c r="F33" s="1" t="str">
        <f aca="false">IF(Data!$H22="usa",Data!$A22,"")</f>
        <v/>
      </c>
      <c r="G33" s="1" t="str">
        <f aca="false">IF(Data!$H22="japan",Data!$A22,"")</f>
        <v/>
      </c>
    </row>
    <row r="34" customFormat="false" ht="15" hidden="false" customHeight="true" outlineLevel="0" collapsed="false">
      <c r="A34" s="19"/>
      <c r="B34" s="19"/>
      <c r="C34" s="19"/>
      <c r="D34" s="19"/>
      <c r="F34" s="1" t="str">
        <f aca="false">IF(Data!$H23="usa",Data!$A23,"")</f>
        <v/>
      </c>
      <c r="G34" s="1" t="str">
        <f aca="false">IF(Data!$H23="japan",Data!$A23,"")</f>
        <v/>
      </c>
    </row>
    <row r="35" customFormat="false" ht="15" hidden="false" customHeight="true" outlineLevel="0" collapsed="false">
      <c r="A35" s="19"/>
      <c r="B35" s="19"/>
      <c r="C35" s="19"/>
      <c r="D35" s="19"/>
      <c r="F35" s="1" t="str">
        <f aca="false">IF(Data!$H24="usa",Data!$A24,"")</f>
        <v/>
      </c>
      <c r="G35" s="1" t="str">
        <f aca="false">IF(Data!$H24="japan",Data!$A24,"")</f>
        <v/>
      </c>
    </row>
    <row r="36" customFormat="false" ht="15" hidden="false" customHeight="true" outlineLevel="0" collapsed="false">
      <c r="A36" s="19"/>
      <c r="B36" s="19"/>
      <c r="C36" s="19"/>
      <c r="D36" s="19"/>
      <c r="F36" s="1" t="str">
        <f aca="false">IF(Data!$H25="usa",Data!$A25,"")</f>
        <v/>
      </c>
      <c r="G36" s="1" t="str">
        <f aca="false">IF(Data!$H25="japan",Data!$A25,"")</f>
        <v/>
      </c>
    </row>
    <row r="37" customFormat="false" ht="15" hidden="false" customHeight="true" outlineLevel="0" collapsed="false">
      <c r="F37" s="1" t="str">
        <f aca="false">IF(Data!$H26="usa",Data!$A26,"")</f>
        <v/>
      </c>
      <c r="G37" s="1" t="str">
        <f aca="false">IF(Data!$H26="japan",Data!$A26,"")</f>
        <v/>
      </c>
    </row>
    <row r="38" customFormat="false" ht="15" hidden="false" customHeight="true" outlineLevel="0" collapsed="false">
      <c r="F38" s="21" t="n">
        <f aca="false">IF(Data!$H27="usa",Data!$A27,"")</f>
        <v>21</v>
      </c>
      <c r="G38" s="1" t="str">
        <f aca="false">IF(Data!$H27="japan",Data!$A27,"")</f>
        <v/>
      </c>
    </row>
    <row r="39" customFormat="false" ht="15" hidden="false" customHeight="true" outlineLevel="0" collapsed="false">
      <c r="F39" s="21" t="n">
        <f aca="false">IF(Data!$H28="usa",Data!$A28,"")</f>
        <v>10</v>
      </c>
      <c r="G39" s="1" t="str">
        <f aca="false">IF(Data!$H28="japan",Data!$A28,"")</f>
        <v/>
      </c>
    </row>
    <row r="40" customFormat="false" ht="15" hidden="false" customHeight="true" outlineLevel="0" collapsed="false">
      <c r="F40" s="21" t="n">
        <f aca="false">IF(Data!$H29="usa",Data!$A29,"")</f>
        <v>10</v>
      </c>
      <c r="G40" s="1" t="str">
        <f aca="false">IF(Data!$H29="japan",Data!$A29,"")</f>
        <v/>
      </c>
    </row>
    <row r="41" customFormat="false" ht="15" hidden="false" customHeight="true" outlineLevel="0" collapsed="false">
      <c r="F41" s="21" t="n">
        <f aca="false">IF(Data!$H30="usa",Data!$A30,"")</f>
        <v>11</v>
      </c>
      <c r="G41" s="1" t="str">
        <f aca="false">IF(Data!$H30="japan",Data!$A30,"")</f>
        <v/>
      </c>
    </row>
    <row r="42" customFormat="false" ht="15" hidden="false" customHeight="true" outlineLevel="0" collapsed="false">
      <c r="F42" s="21" t="n">
        <f aca="false">IF(Data!$H31="usa",Data!$A31,"")</f>
        <v>9</v>
      </c>
      <c r="G42" s="1" t="str">
        <f aca="false">IF(Data!$H31="japan",Data!$A31,"")</f>
        <v/>
      </c>
    </row>
    <row r="43" customFormat="false" ht="15" hidden="false" customHeight="true" outlineLevel="0" collapsed="false">
      <c r="F43" s="1" t="str">
        <f aca="false">IF(Data!$H32="usa",Data!$A32,"")</f>
        <v/>
      </c>
      <c r="G43" s="21" t="n">
        <f aca="false">IF(Data!$H32="japan",Data!$A32,"")</f>
        <v>27</v>
      </c>
    </row>
    <row r="44" customFormat="false" ht="15" hidden="false" customHeight="true" outlineLevel="0" collapsed="false">
      <c r="F44" s="21" t="n">
        <f aca="false">IF(Data!$H33="usa",Data!$A33,"")</f>
        <v>28</v>
      </c>
      <c r="G44" s="1" t="str">
        <f aca="false">IF(Data!$H33="japan",Data!$A33,"")</f>
        <v/>
      </c>
    </row>
    <row r="45" customFormat="false" ht="15" hidden="false" customHeight="true" outlineLevel="0" collapsed="false">
      <c r="F45" s="1" t="str">
        <f aca="false">IF(Data!$H34="usa",Data!$A34,"")</f>
        <v/>
      </c>
      <c r="G45" s="21" t="n">
        <f aca="false">IF(Data!$H34="japan",Data!$A34,"")</f>
        <v>25</v>
      </c>
    </row>
    <row r="46" customFormat="false" ht="15" hidden="false" customHeight="true" outlineLevel="0" collapsed="false">
      <c r="F46" s="21" t="n">
        <f aca="false">IF(Data!$H35="usa",Data!$A35,"")</f>
        <v>25</v>
      </c>
      <c r="G46" s="1" t="str">
        <f aca="false">IF(Data!$H35="japan",Data!$A35,"")</f>
        <v/>
      </c>
    </row>
    <row r="47" customFormat="false" ht="15" hidden="false" customHeight="true" outlineLevel="0" collapsed="false">
      <c r="F47" s="21" t="n">
        <f aca="false">IF(Data!$H36="usa",Data!$A36,"")</f>
        <v>19</v>
      </c>
      <c r="G47" s="1" t="str">
        <f aca="false">IF(Data!$H36="japan",Data!$A36,"")</f>
        <v/>
      </c>
    </row>
    <row r="48" customFormat="false" ht="15" hidden="false" customHeight="true" outlineLevel="0" collapsed="false">
      <c r="F48" s="21" t="n">
        <f aca="false">IF(Data!$H37="usa",Data!$A37,"")</f>
        <v>16</v>
      </c>
      <c r="G48" s="1" t="str">
        <f aca="false">IF(Data!$H37="japan",Data!$A37,"")</f>
        <v/>
      </c>
    </row>
    <row r="49" customFormat="false" ht="15" hidden="false" customHeight="true" outlineLevel="0" collapsed="false">
      <c r="F49" s="21" t="n">
        <f aca="false">IF(Data!$H38="usa",Data!$A38,"")</f>
        <v>17</v>
      </c>
      <c r="G49" s="1" t="str">
        <f aca="false">IF(Data!$H38="japan",Data!$A38,"")</f>
        <v/>
      </c>
    </row>
    <row r="50" customFormat="false" ht="15" hidden="false" customHeight="true" outlineLevel="0" collapsed="false">
      <c r="F50" s="21" t="n">
        <f aca="false">IF(Data!$H39="usa",Data!$A39,"")</f>
        <v>19</v>
      </c>
      <c r="G50" s="1" t="str">
        <f aca="false">IF(Data!$H39="japan",Data!$A39,"")</f>
        <v/>
      </c>
    </row>
    <row r="51" customFormat="false" ht="15" hidden="false" customHeight="true" outlineLevel="0" collapsed="false">
      <c r="F51" s="21" t="n">
        <f aca="false">IF(Data!$H40="usa",Data!$A40,"")</f>
        <v>18</v>
      </c>
      <c r="G51" s="1" t="str">
        <f aca="false">IF(Data!$H40="japan",Data!$A40,"")</f>
        <v/>
      </c>
    </row>
    <row r="52" customFormat="false" ht="15" hidden="false" customHeight="true" outlineLevel="0" collapsed="false">
      <c r="F52" s="21" t="n">
        <f aca="false">IF(Data!$H41="usa",Data!$A41,"")</f>
        <v>14</v>
      </c>
      <c r="G52" s="1" t="str">
        <f aca="false">IF(Data!$H41="japan",Data!$A41,"")</f>
        <v/>
      </c>
    </row>
    <row r="53" customFormat="false" ht="15" hidden="false" customHeight="true" outlineLevel="0" collapsed="false">
      <c r="F53" s="21" t="n">
        <f aca="false">IF(Data!$H42="usa",Data!$A42,"")</f>
        <v>14</v>
      </c>
      <c r="G53" s="1" t="str">
        <f aca="false">IF(Data!$H42="japan",Data!$A42,"")</f>
        <v/>
      </c>
    </row>
    <row r="54" customFormat="false" ht="15" hidden="false" customHeight="true" outlineLevel="0" collapsed="false">
      <c r="F54" s="21" t="n">
        <f aca="false">IF(Data!$H43="usa",Data!$A43,"")</f>
        <v>14</v>
      </c>
      <c r="G54" s="1" t="str">
        <f aca="false">IF(Data!$H43="japan",Data!$A43,"")</f>
        <v/>
      </c>
    </row>
    <row r="55" customFormat="false" ht="15" hidden="false" customHeight="true" outlineLevel="0" collapsed="false">
      <c r="F55" s="21" t="n">
        <f aca="false">IF(Data!$H44="usa",Data!$A44,"")</f>
        <v>14</v>
      </c>
      <c r="G55" s="1" t="str">
        <f aca="false">IF(Data!$H44="japan",Data!$A44,"")</f>
        <v/>
      </c>
    </row>
    <row r="56" customFormat="false" ht="15" hidden="false" customHeight="true" outlineLevel="0" collapsed="false">
      <c r="F56" s="21" t="n">
        <f aca="false">IF(Data!$H45="usa",Data!$A45,"")</f>
        <v>12</v>
      </c>
      <c r="G56" s="1" t="str">
        <f aca="false">IF(Data!$H45="japan",Data!$A45,"")</f>
        <v/>
      </c>
    </row>
    <row r="57" customFormat="false" ht="15" hidden="false" customHeight="true" outlineLevel="0" collapsed="false">
      <c r="F57" s="21" t="n">
        <f aca="false">IF(Data!$H46="usa",Data!$A46,"")</f>
        <v>13</v>
      </c>
      <c r="G57" s="1" t="str">
        <f aca="false">IF(Data!$H46="japan",Data!$A46,"")</f>
        <v/>
      </c>
    </row>
    <row r="58" customFormat="false" ht="15" hidden="false" customHeight="true" outlineLevel="0" collapsed="false">
      <c r="F58" s="21" t="n">
        <f aca="false">IF(Data!$H47="usa",Data!$A47,"")</f>
        <v>13</v>
      </c>
      <c r="G58" s="1" t="str">
        <f aca="false">IF(Data!$H47="japan",Data!$A47,"")</f>
        <v/>
      </c>
    </row>
    <row r="59" customFormat="false" ht="15" hidden="false" customHeight="true" outlineLevel="0" collapsed="false">
      <c r="F59" s="21" t="n">
        <f aca="false">IF(Data!$H48="usa",Data!$A48,"")</f>
        <v>18</v>
      </c>
      <c r="G59" s="1" t="str">
        <f aca="false">IF(Data!$H48="japan",Data!$A48,"")</f>
        <v/>
      </c>
    </row>
    <row r="60" customFormat="false" ht="15" hidden="false" customHeight="true" outlineLevel="0" collapsed="false">
      <c r="F60" s="21" t="n">
        <f aca="false">IF(Data!$H49="usa",Data!$A49,"")</f>
        <v>22</v>
      </c>
      <c r="G60" s="1" t="str">
        <f aca="false">IF(Data!$H49="japan",Data!$A49,"")</f>
        <v/>
      </c>
    </row>
    <row r="61" customFormat="false" ht="15" hidden="false" customHeight="true" outlineLevel="0" collapsed="false">
      <c r="F61" s="21" t="n">
        <f aca="false">IF(Data!$H50="usa",Data!$A50,"")</f>
        <v>19</v>
      </c>
      <c r="G61" s="1" t="str">
        <f aca="false">IF(Data!$H50="japan",Data!$A50,"")</f>
        <v/>
      </c>
    </row>
    <row r="62" customFormat="false" ht="15" hidden="false" customHeight="true" outlineLevel="0" collapsed="false">
      <c r="F62" s="21" t="n">
        <f aca="false">IF(Data!$H51="usa",Data!$A51,"")</f>
        <v>18</v>
      </c>
      <c r="G62" s="1" t="str">
        <f aca="false">IF(Data!$H51="japan",Data!$A51,"")</f>
        <v/>
      </c>
    </row>
    <row r="63" customFormat="false" ht="15" hidden="false" customHeight="true" outlineLevel="0" collapsed="false">
      <c r="F63" s="21" t="n">
        <f aca="false">IF(Data!$H52="usa",Data!$A52,"")</f>
        <v>23</v>
      </c>
      <c r="G63" s="1" t="str">
        <f aca="false">IF(Data!$H52="japan",Data!$A52,"")</f>
        <v/>
      </c>
    </row>
    <row r="64" customFormat="false" ht="15" hidden="false" customHeight="true" outlineLevel="0" collapsed="false">
      <c r="F64" s="1" t="str">
        <f aca="false">IF(Data!$H53="usa",Data!$A53,"")</f>
        <v/>
      </c>
      <c r="G64" s="1" t="str">
        <f aca="false">IF(Data!$H53="japan",Data!$A53,"")</f>
        <v/>
      </c>
    </row>
    <row r="65" customFormat="false" ht="15" hidden="false" customHeight="true" outlineLevel="0" collapsed="false">
      <c r="F65" s="1" t="str">
        <f aca="false">IF(Data!$H54="usa",Data!$A54,"")</f>
        <v/>
      </c>
      <c r="G65" s="1" t="str">
        <f aca="false">IF(Data!$H54="japan",Data!$A54,"")</f>
        <v/>
      </c>
    </row>
    <row r="66" customFormat="false" ht="15" hidden="false" customHeight="true" outlineLevel="0" collapsed="false">
      <c r="F66" s="1" t="str">
        <f aca="false">IF(Data!$H55="usa",Data!$A55,"")</f>
        <v/>
      </c>
      <c r="G66" s="1" t="str">
        <f aca="false">IF(Data!$H55="japan",Data!$A55,"")</f>
        <v/>
      </c>
    </row>
    <row r="67" customFormat="false" ht="15" hidden="false" customHeight="true" outlineLevel="0" collapsed="false">
      <c r="F67" s="1" t="str">
        <f aca="false">IF(Data!$H56="usa",Data!$A56,"")</f>
        <v/>
      </c>
      <c r="G67" s="21" t="n">
        <f aca="false">IF(Data!$H56="japan",Data!$A56,"")</f>
        <v>31</v>
      </c>
    </row>
    <row r="68" customFormat="false" ht="15" hidden="false" customHeight="true" outlineLevel="0" collapsed="false">
      <c r="F68" s="1" t="str">
        <f aca="false">IF(Data!$H57="usa",Data!$A57,"")</f>
        <v/>
      </c>
      <c r="G68" s="21" t="n">
        <f aca="false">IF(Data!$H57="japan",Data!$A57,"")</f>
        <v>35</v>
      </c>
    </row>
    <row r="69" customFormat="false" ht="15" hidden="false" customHeight="true" outlineLevel="0" collapsed="false">
      <c r="F69" s="1" t="str">
        <f aca="false">IF(Data!$H58="usa",Data!$A58,"")</f>
        <v/>
      </c>
      <c r="G69" s="1" t="str">
        <f aca="false">IF(Data!$H58="japan",Data!$A58,"")</f>
        <v/>
      </c>
    </row>
    <row r="70" customFormat="false" ht="15" hidden="false" customHeight="true" outlineLevel="0" collapsed="false">
      <c r="F70" s="21" t="n">
        <f aca="false">IF(Data!$H59="usa",Data!$A59,"")</f>
        <v>26</v>
      </c>
      <c r="G70" s="1" t="str">
        <f aca="false">IF(Data!$H59="japan",Data!$A59,"")</f>
        <v/>
      </c>
    </row>
    <row r="71" customFormat="false" ht="15" hidden="false" customHeight="true" outlineLevel="0" collapsed="false">
      <c r="F71" s="1" t="str">
        <f aca="false">IF(Data!$H60="usa",Data!$A60,"")</f>
        <v/>
      </c>
      <c r="G71" s="21" t="n">
        <f aca="false">IF(Data!$H60="japan",Data!$A60,"")</f>
        <v>24</v>
      </c>
    </row>
    <row r="72" customFormat="false" ht="15" hidden="false" customHeight="true" outlineLevel="0" collapsed="false">
      <c r="F72" s="21" t="n">
        <f aca="false">IF(Data!$H61="usa",Data!$A61,"")</f>
        <v>25</v>
      </c>
      <c r="G72" s="1" t="str">
        <f aca="false">IF(Data!$H61="japan",Data!$A61,"")</f>
        <v/>
      </c>
    </row>
    <row r="73" customFormat="false" ht="15" hidden="false" customHeight="true" outlineLevel="0" collapsed="false">
      <c r="F73" s="1" t="str">
        <f aca="false">IF(Data!$H62="usa",Data!$A62,"")</f>
        <v/>
      </c>
      <c r="G73" s="1" t="str">
        <f aca="false">IF(Data!$H62="japan",Data!$A62,"")</f>
        <v/>
      </c>
    </row>
    <row r="74" customFormat="false" ht="15" hidden="false" customHeight="true" outlineLevel="0" collapsed="false">
      <c r="F74" s="21" t="n">
        <f aca="false">IF(Data!$H63="usa",Data!$A63,"")</f>
        <v>20</v>
      </c>
      <c r="G74" s="1" t="str">
        <f aca="false">IF(Data!$H63="japan",Data!$A63,"")</f>
        <v/>
      </c>
    </row>
    <row r="75" customFormat="false" ht="15" hidden="false" customHeight="true" outlineLevel="0" collapsed="false">
      <c r="F75" s="21" t="n">
        <f aca="false">IF(Data!$H64="usa",Data!$A64,"")</f>
        <v>21</v>
      </c>
      <c r="G75" s="1" t="str">
        <f aca="false">IF(Data!$H64="japan",Data!$A64,"")</f>
        <v/>
      </c>
    </row>
    <row r="76" customFormat="false" ht="15" hidden="false" customHeight="true" outlineLevel="0" collapsed="false">
      <c r="F76" s="21" t="n">
        <f aca="false">IF(Data!$H65="usa",Data!$A65,"")</f>
        <v>13</v>
      </c>
      <c r="G76" s="1" t="str">
        <f aca="false">IF(Data!$H65="japan",Data!$A65,"")</f>
        <v/>
      </c>
    </row>
    <row r="77" customFormat="false" ht="15" hidden="false" customHeight="true" outlineLevel="0" collapsed="false">
      <c r="F77" s="21" t="n">
        <f aca="false">IF(Data!$H66="usa",Data!$A66,"")</f>
        <v>14</v>
      </c>
      <c r="G77" s="1" t="str">
        <f aca="false">IF(Data!$H66="japan",Data!$A66,"")</f>
        <v/>
      </c>
    </row>
    <row r="78" customFormat="false" ht="15" hidden="false" customHeight="true" outlineLevel="0" collapsed="false">
      <c r="F78" s="21" t="n">
        <f aca="false">IF(Data!$H67="usa",Data!$A67,"")</f>
        <v>15</v>
      </c>
      <c r="G78" s="1" t="str">
        <f aca="false">IF(Data!$H67="japan",Data!$A67,"")</f>
        <v/>
      </c>
    </row>
    <row r="79" customFormat="false" ht="15" hidden="false" customHeight="true" outlineLevel="0" collapsed="false">
      <c r="F79" s="21" t="n">
        <f aca="false">IF(Data!$H68="usa",Data!$A68,"")</f>
        <v>14</v>
      </c>
      <c r="G79" s="1" t="str">
        <f aca="false">IF(Data!$H68="japan",Data!$A68,"")</f>
        <v/>
      </c>
    </row>
    <row r="80" customFormat="false" ht="15" hidden="false" customHeight="true" outlineLevel="0" collapsed="false">
      <c r="F80" s="21" t="n">
        <f aca="false">IF(Data!$H69="usa",Data!$A69,"")</f>
        <v>17</v>
      </c>
      <c r="G80" s="1" t="str">
        <f aca="false">IF(Data!$H69="japan",Data!$A69,"")</f>
        <v/>
      </c>
    </row>
    <row r="81" customFormat="false" ht="15" hidden="false" customHeight="true" outlineLevel="0" collapsed="false">
      <c r="F81" s="21" t="n">
        <f aca="false">IF(Data!$H70="usa",Data!$A70,"")</f>
        <v>11</v>
      </c>
      <c r="G81" s="1" t="str">
        <f aca="false">IF(Data!$H70="japan",Data!$A70,"")</f>
        <v/>
      </c>
    </row>
    <row r="82" customFormat="false" ht="15" hidden="false" customHeight="true" outlineLevel="0" collapsed="false">
      <c r="F82" s="21" t="n">
        <f aca="false">IF(Data!$H71="usa",Data!$A71,"")</f>
        <v>13</v>
      </c>
      <c r="G82" s="1" t="str">
        <f aca="false">IF(Data!$H71="japan",Data!$A71,"")</f>
        <v/>
      </c>
    </row>
    <row r="83" customFormat="false" ht="15" hidden="false" customHeight="true" outlineLevel="0" collapsed="false">
      <c r="F83" s="21" t="n">
        <f aca="false">IF(Data!$H72="usa",Data!$A72,"")</f>
        <v>12</v>
      </c>
      <c r="G83" s="1" t="str">
        <f aca="false">IF(Data!$H72="japan",Data!$A72,"")</f>
        <v/>
      </c>
    </row>
    <row r="84" customFormat="false" ht="15" hidden="false" customHeight="true" outlineLevel="0" collapsed="false">
      <c r="F84" s="21" t="n">
        <f aca="false">IF(Data!$H73="usa",Data!$A73,"")</f>
        <v>13</v>
      </c>
      <c r="G84" s="1" t="str">
        <f aca="false">IF(Data!$H73="japan",Data!$A73,"")</f>
        <v/>
      </c>
    </row>
    <row r="85" customFormat="false" ht="15" hidden="false" customHeight="true" outlineLevel="0" collapsed="false">
      <c r="F85" s="1" t="str">
        <f aca="false">IF(Data!$H74="usa",Data!$A74,"")</f>
        <v/>
      </c>
      <c r="G85" s="21" t="n">
        <f aca="false">IF(Data!$H74="japan",Data!$A74,"")</f>
        <v>19</v>
      </c>
    </row>
    <row r="86" customFormat="false" ht="15" hidden="false" customHeight="true" outlineLevel="0" collapsed="false">
      <c r="F86" s="21" t="n">
        <f aca="false">IF(Data!$H75="usa",Data!$A75,"")</f>
        <v>15</v>
      </c>
      <c r="G86" s="1" t="str">
        <f aca="false">IF(Data!$H75="japan",Data!$A75,"")</f>
        <v/>
      </c>
    </row>
    <row r="87" customFormat="false" ht="15" hidden="false" customHeight="true" outlineLevel="0" collapsed="false">
      <c r="F87" s="21" t="n">
        <f aca="false">IF(Data!$H76="usa",Data!$A76,"")</f>
        <v>13</v>
      </c>
      <c r="G87" s="1" t="str">
        <f aca="false">IF(Data!$H76="japan",Data!$A76,"")</f>
        <v/>
      </c>
    </row>
    <row r="88" customFormat="false" ht="15" hidden="false" customHeight="true" outlineLevel="0" collapsed="false">
      <c r="F88" s="21" t="n">
        <f aca="false">IF(Data!$H77="usa",Data!$A77,"")</f>
        <v>13</v>
      </c>
      <c r="G88" s="1" t="str">
        <f aca="false">IF(Data!$H77="japan",Data!$A77,"")</f>
        <v/>
      </c>
    </row>
    <row r="89" customFormat="false" ht="15" hidden="false" customHeight="true" outlineLevel="0" collapsed="false">
      <c r="F89" s="21" t="n">
        <f aca="false">IF(Data!$H78="usa",Data!$A78,"")</f>
        <v>14</v>
      </c>
      <c r="G89" s="1" t="str">
        <f aca="false">IF(Data!$H78="japan",Data!$A78,"")</f>
        <v/>
      </c>
    </row>
    <row r="90" customFormat="false" ht="15" hidden="false" customHeight="true" outlineLevel="0" collapsed="false">
      <c r="F90" s="1" t="str">
        <f aca="false">IF(Data!$H79="usa",Data!$A79,"")</f>
        <v/>
      </c>
      <c r="G90" s="1" t="str">
        <f aca="false">IF(Data!$H79="japan",Data!$A79,"")</f>
        <v/>
      </c>
    </row>
    <row r="91" customFormat="false" ht="15" hidden="false" customHeight="true" outlineLevel="0" collapsed="false">
      <c r="F91" s="1" t="str">
        <f aca="false">IF(Data!$H80="usa",Data!$A80,"")</f>
        <v/>
      </c>
      <c r="G91" s="1" t="str">
        <f aca="false">IF(Data!$H80="japan",Data!$A80,"")</f>
        <v/>
      </c>
    </row>
    <row r="92" customFormat="false" ht="15" hidden="false" customHeight="true" outlineLevel="0" collapsed="false">
      <c r="F92" s="1" t="str">
        <f aca="false">IF(Data!$H81="usa",Data!$A81,"")</f>
        <v/>
      </c>
      <c r="G92" s="1" t="str">
        <f aca="false">IF(Data!$H81="japan",Data!$A81,"")</f>
        <v/>
      </c>
    </row>
    <row r="93" customFormat="false" ht="15" hidden="false" customHeight="true" outlineLevel="0" collapsed="false">
      <c r="F93" s="1" t="str">
        <f aca="false">IF(Data!$H82="usa",Data!$A82,"")</f>
        <v/>
      </c>
      <c r="G93" s="1" t="str">
        <f aca="false">IF(Data!$H82="japan",Data!$A82,"")</f>
        <v/>
      </c>
    </row>
    <row r="94" customFormat="false" ht="15" hidden="false" customHeight="true" outlineLevel="0" collapsed="false">
      <c r="F94" s="21" t="n">
        <f aca="false">IF(Data!$H83="usa",Data!$A83,"")</f>
        <v>22</v>
      </c>
      <c r="G94" s="1" t="str">
        <f aca="false">IF(Data!$H83="japan",Data!$A83,"")</f>
        <v/>
      </c>
    </row>
    <row r="95" customFormat="false" ht="15" hidden="false" customHeight="true" outlineLevel="0" collapsed="false">
      <c r="F95" s="1" t="str">
        <f aca="false">IF(Data!$H84="usa",Data!$A84,"")</f>
        <v/>
      </c>
      <c r="G95" s="21" t="n">
        <f aca="false">IF(Data!$H84="japan",Data!$A84,"")</f>
        <v>28</v>
      </c>
    </row>
    <row r="96" customFormat="false" ht="15" hidden="false" customHeight="true" outlineLevel="0" collapsed="false">
      <c r="F96" s="1" t="str">
        <f aca="false">IF(Data!$H85="usa",Data!$A85,"")</f>
        <v/>
      </c>
      <c r="G96" s="21" t="n">
        <f aca="false">IF(Data!$H85="japan",Data!$A85,"")</f>
        <v>23</v>
      </c>
    </row>
    <row r="97" customFormat="false" ht="15" hidden="false" customHeight="true" outlineLevel="0" collapsed="false">
      <c r="F97" s="21" t="n">
        <f aca="false">IF(Data!$H86="usa",Data!$A86,"")</f>
        <v>28</v>
      </c>
      <c r="G97" s="1" t="str">
        <f aca="false">IF(Data!$H86="japan",Data!$A86,"")</f>
        <v/>
      </c>
    </row>
    <row r="98" customFormat="false" ht="15" hidden="false" customHeight="true" outlineLevel="0" collapsed="false">
      <c r="F98" s="1" t="str">
        <f aca="false">IF(Data!$H87="usa",Data!$A87,"")</f>
        <v/>
      </c>
      <c r="G98" s="21" t="n">
        <f aca="false">IF(Data!$H87="japan",Data!$A87,"")</f>
        <v>27</v>
      </c>
    </row>
    <row r="99" customFormat="false" ht="15" hidden="false" customHeight="true" outlineLevel="0" collapsed="false">
      <c r="F99" s="21" t="n">
        <f aca="false">IF(Data!$H88="usa",Data!$A88,"")</f>
        <v>13</v>
      </c>
      <c r="G99" s="1" t="str">
        <f aca="false">IF(Data!$H88="japan",Data!$A88,"")</f>
        <v/>
      </c>
    </row>
    <row r="100" customFormat="false" ht="15" hidden="false" customHeight="true" outlineLevel="0" collapsed="false">
      <c r="F100" s="21" t="n">
        <f aca="false">IF(Data!$H89="usa",Data!$A89,"")</f>
        <v>14</v>
      </c>
      <c r="G100" s="1" t="str">
        <f aca="false">IF(Data!$H89="japan",Data!$A89,"")</f>
        <v/>
      </c>
    </row>
    <row r="101" customFormat="false" ht="15" hidden="false" customHeight="true" outlineLevel="0" collapsed="false">
      <c r="F101" s="21" t="n">
        <f aca="false">IF(Data!$H90="usa",Data!$A90,"")</f>
        <v>13</v>
      </c>
      <c r="G101" s="1" t="str">
        <f aca="false">IF(Data!$H90="japan",Data!$A90,"")</f>
        <v/>
      </c>
    </row>
    <row r="102" customFormat="false" ht="15" hidden="false" customHeight="true" outlineLevel="0" collapsed="false">
      <c r="F102" s="21" t="n">
        <f aca="false">IF(Data!$H91="usa",Data!$A91,"")</f>
        <v>14</v>
      </c>
      <c r="G102" s="1" t="str">
        <f aca="false">IF(Data!$H91="japan",Data!$A91,"")</f>
        <v/>
      </c>
    </row>
    <row r="103" customFormat="false" ht="15" hidden="false" customHeight="true" outlineLevel="0" collapsed="false">
      <c r="F103" s="21" t="n">
        <f aca="false">IF(Data!$H92="usa",Data!$A92,"")</f>
        <v>15</v>
      </c>
      <c r="G103" s="1" t="str">
        <f aca="false">IF(Data!$H92="japan",Data!$A92,"")</f>
        <v/>
      </c>
    </row>
    <row r="104" customFormat="false" ht="15" hidden="false" customHeight="true" outlineLevel="0" collapsed="false">
      <c r="F104" s="21" t="n">
        <f aca="false">IF(Data!$H93="usa",Data!$A93,"")</f>
        <v>12</v>
      </c>
      <c r="G104" s="1" t="str">
        <f aca="false">IF(Data!$H93="japan",Data!$A93,"")</f>
        <v/>
      </c>
    </row>
    <row r="105" customFormat="false" ht="15" hidden="false" customHeight="true" outlineLevel="0" collapsed="false">
      <c r="F105" s="21" t="n">
        <f aca="false">IF(Data!$H94="usa",Data!$A94,"")</f>
        <v>13</v>
      </c>
      <c r="G105" s="1" t="str">
        <f aca="false">IF(Data!$H94="japan",Data!$A94,"")</f>
        <v/>
      </c>
    </row>
    <row r="106" customFormat="false" ht="15" hidden="false" customHeight="true" outlineLevel="0" collapsed="false">
      <c r="F106" s="21" t="n">
        <f aca="false">IF(Data!$H95="usa",Data!$A95,"")</f>
        <v>13</v>
      </c>
      <c r="G106" s="1" t="str">
        <f aca="false">IF(Data!$H95="japan",Data!$A95,"")</f>
        <v/>
      </c>
    </row>
    <row r="107" customFormat="false" ht="15" hidden="false" customHeight="true" outlineLevel="0" collapsed="false">
      <c r="F107" s="21" t="n">
        <f aca="false">IF(Data!$H96="usa",Data!$A96,"")</f>
        <v>14</v>
      </c>
      <c r="G107" s="1" t="str">
        <f aca="false">IF(Data!$H96="japan",Data!$A96,"")</f>
        <v/>
      </c>
    </row>
    <row r="108" customFormat="false" ht="15" hidden="false" customHeight="true" outlineLevel="0" collapsed="false">
      <c r="F108" s="21" t="n">
        <f aca="false">IF(Data!$H97="usa",Data!$A97,"")</f>
        <v>13</v>
      </c>
      <c r="G108" s="1" t="str">
        <f aca="false">IF(Data!$H97="japan",Data!$A97,"")</f>
        <v/>
      </c>
    </row>
    <row r="109" customFormat="false" ht="15" hidden="false" customHeight="true" outlineLevel="0" collapsed="false">
      <c r="F109" s="21" t="n">
        <f aca="false">IF(Data!$H98="usa",Data!$A98,"")</f>
        <v>12</v>
      </c>
      <c r="G109" s="1" t="str">
        <f aca="false">IF(Data!$H98="japan",Data!$A98,"")</f>
        <v/>
      </c>
    </row>
    <row r="110" customFormat="false" ht="15" hidden="false" customHeight="true" outlineLevel="0" collapsed="false">
      <c r="F110" s="21" t="n">
        <f aca="false">IF(Data!$H99="usa",Data!$A99,"")</f>
        <v>13</v>
      </c>
      <c r="G110" s="1" t="str">
        <f aca="false">IF(Data!$H99="japan",Data!$A99,"")</f>
        <v/>
      </c>
    </row>
    <row r="111" customFormat="false" ht="15" hidden="false" customHeight="true" outlineLevel="0" collapsed="false">
      <c r="F111" s="21" t="n">
        <f aca="false">IF(Data!$H100="usa",Data!$A100,"")</f>
        <v>18</v>
      </c>
      <c r="G111" s="1" t="str">
        <f aca="false">IF(Data!$H100="japan",Data!$A100,"")</f>
        <v/>
      </c>
    </row>
    <row r="112" customFormat="false" ht="15" hidden="false" customHeight="true" outlineLevel="0" collapsed="false">
      <c r="F112" s="21" t="n">
        <f aca="false">IF(Data!$H101="usa",Data!$A101,"")</f>
        <v>16</v>
      </c>
      <c r="G112" s="1" t="str">
        <f aca="false">IF(Data!$H101="japan",Data!$A101,"")</f>
        <v/>
      </c>
    </row>
    <row r="113" customFormat="false" ht="15" hidden="false" customHeight="true" outlineLevel="0" collapsed="false">
      <c r="F113" s="21" t="n">
        <f aca="false">IF(Data!$H102="usa",Data!$A102,"")</f>
        <v>18</v>
      </c>
      <c r="G113" s="1" t="str">
        <f aca="false">IF(Data!$H102="japan",Data!$A102,"")</f>
        <v/>
      </c>
    </row>
    <row r="114" customFormat="false" ht="15" hidden="false" customHeight="true" outlineLevel="0" collapsed="false">
      <c r="F114" s="21" t="n">
        <f aca="false">IF(Data!$H103="usa",Data!$A103,"")</f>
        <v>18</v>
      </c>
      <c r="G114" s="1" t="str">
        <f aca="false">IF(Data!$H103="japan",Data!$A103,"")</f>
        <v/>
      </c>
    </row>
    <row r="115" customFormat="false" ht="15" hidden="false" customHeight="true" outlineLevel="0" collapsed="false">
      <c r="F115" s="21" t="n">
        <f aca="false">IF(Data!$H104="usa",Data!$A104,"")</f>
        <v>23</v>
      </c>
      <c r="G115" s="1" t="str">
        <f aca="false">IF(Data!$H104="japan",Data!$A104,"")</f>
        <v/>
      </c>
    </row>
    <row r="116" customFormat="false" ht="15" hidden="false" customHeight="true" outlineLevel="0" collapsed="false">
      <c r="F116" s="1" t="str">
        <f aca="false">IF(Data!$H105="usa",Data!$A105,"")</f>
        <v/>
      </c>
      <c r="G116" s="1" t="str">
        <f aca="false">IF(Data!$H105="japan",Data!$A105,"")</f>
        <v/>
      </c>
    </row>
    <row r="117" customFormat="false" ht="15" hidden="false" customHeight="true" outlineLevel="0" collapsed="false">
      <c r="F117" s="21" t="n">
        <f aca="false">IF(Data!$H106="usa",Data!$A106,"")</f>
        <v>11</v>
      </c>
      <c r="G117" s="1" t="str">
        <f aca="false">IF(Data!$H106="japan",Data!$A106,"")</f>
        <v/>
      </c>
    </row>
    <row r="118" customFormat="false" ht="15" hidden="false" customHeight="true" outlineLevel="0" collapsed="false">
      <c r="F118" s="21" t="n">
        <f aca="false">IF(Data!$H107="usa",Data!$A107,"")</f>
        <v>12</v>
      </c>
      <c r="G118" s="1" t="str">
        <f aca="false">IF(Data!$H107="japan",Data!$A107,"")</f>
        <v/>
      </c>
    </row>
    <row r="119" customFormat="false" ht="15" hidden="false" customHeight="true" outlineLevel="0" collapsed="false">
      <c r="F119" s="21" t="n">
        <f aca="false">IF(Data!$H108="usa",Data!$A108,"")</f>
        <v>13</v>
      </c>
      <c r="G119" s="1" t="str">
        <f aca="false">IF(Data!$H108="japan",Data!$A108,"")</f>
        <v/>
      </c>
    </row>
    <row r="120" customFormat="false" ht="15" hidden="false" customHeight="true" outlineLevel="0" collapsed="false">
      <c r="F120" s="21" t="n">
        <f aca="false">IF(Data!$H109="usa",Data!$A109,"")</f>
        <v>12</v>
      </c>
      <c r="G120" s="1" t="str">
        <f aca="false">IF(Data!$H109="japan",Data!$A109,"")</f>
        <v/>
      </c>
    </row>
    <row r="121" customFormat="false" ht="15" hidden="false" customHeight="true" outlineLevel="0" collapsed="false">
      <c r="F121" s="21" t="n">
        <f aca="false">IF(Data!$H110="usa",Data!$A110,"")</f>
        <v>18</v>
      </c>
      <c r="G121" s="1" t="str">
        <f aca="false">IF(Data!$H110="japan",Data!$A110,"")</f>
        <v/>
      </c>
    </row>
    <row r="122" customFormat="false" ht="15" hidden="false" customHeight="true" outlineLevel="0" collapsed="false">
      <c r="F122" s="1" t="str">
        <f aca="false">IF(Data!$H111="usa",Data!$A111,"")</f>
        <v/>
      </c>
      <c r="G122" s="21" t="n">
        <f aca="false">IF(Data!$H111="japan",Data!$A111,"")</f>
        <v>20</v>
      </c>
    </row>
    <row r="123" customFormat="false" ht="15" hidden="false" customHeight="true" outlineLevel="0" collapsed="false">
      <c r="F123" s="21" t="n">
        <f aca="false">IF(Data!$H112="usa",Data!$A112,"")</f>
        <v>21</v>
      </c>
      <c r="G123" s="1" t="str">
        <f aca="false">IF(Data!$H112="japan",Data!$A112,"")</f>
        <v/>
      </c>
    </row>
    <row r="124" customFormat="false" ht="15" hidden="false" customHeight="true" outlineLevel="0" collapsed="false">
      <c r="F124" s="1" t="str">
        <f aca="false">IF(Data!$H113="usa",Data!$A113,"")</f>
        <v/>
      </c>
      <c r="G124" s="21" t="n">
        <f aca="false">IF(Data!$H113="japan",Data!$A113,"")</f>
        <v>22</v>
      </c>
    </row>
    <row r="125" customFormat="false" ht="15" hidden="false" customHeight="true" outlineLevel="0" collapsed="false">
      <c r="F125" s="1" t="str">
        <f aca="false">IF(Data!$H114="usa",Data!$A114,"")</f>
        <v/>
      </c>
      <c r="G125" s="21" t="n">
        <f aca="false">IF(Data!$H114="japan",Data!$A114,"")</f>
        <v>18</v>
      </c>
    </row>
    <row r="126" customFormat="false" ht="15" hidden="false" customHeight="true" outlineLevel="0" collapsed="false">
      <c r="F126" s="21" t="n">
        <f aca="false">IF(Data!$H115="usa",Data!$A115,"")</f>
        <v>19</v>
      </c>
      <c r="G126" s="1" t="str">
        <f aca="false">IF(Data!$H115="japan",Data!$A115,"")</f>
        <v/>
      </c>
    </row>
    <row r="127" customFormat="false" ht="15" hidden="false" customHeight="true" outlineLevel="0" collapsed="false">
      <c r="F127" s="21" t="n">
        <f aca="false">IF(Data!$H116="usa",Data!$A116,"")</f>
        <v>21</v>
      </c>
      <c r="G127" s="1" t="str">
        <f aca="false">IF(Data!$H116="japan",Data!$A116,"")</f>
        <v/>
      </c>
    </row>
    <row r="128" customFormat="false" ht="15" hidden="false" customHeight="true" outlineLevel="0" collapsed="false">
      <c r="F128" s="1" t="str">
        <f aca="false">IF(Data!$H117="usa",Data!$A117,"")</f>
        <v/>
      </c>
      <c r="G128" s="1" t="str">
        <f aca="false">IF(Data!$H117="japan",Data!$A117,"")</f>
        <v/>
      </c>
    </row>
    <row r="129" customFormat="false" ht="15" hidden="false" customHeight="true" outlineLevel="0" collapsed="false">
      <c r="F129" s="21" t="n">
        <f aca="false">IF(Data!$H118="usa",Data!$A118,"")</f>
        <v>15</v>
      </c>
      <c r="G129" s="1" t="str">
        <f aca="false">IF(Data!$H118="japan",Data!$A118,"")</f>
        <v/>
      </c>
    </row>
    <row r="130" customFormat="false" ht="15" hidden="false" customHeight="true" outlineLevel="0" collapsed="false">
      <c r="F130" s="21" t="n">
        <f aca="false">IF(Data!$H119="usa",Data!$A119,"")</f>
        <v>16</v>
      </c>
      <c r="G130" s="1" t="str">
        <f aca="false">IF(Data!$H119="japan",Data!$A119,"")</f>
        <v/>
      </c>
    </row>
    <row r="131" customFormat="false" ht="15" hidden="false" customHeight="true" outlineLevel="0" collapsed="false">
      <c r="F131" s="1" t="str">
        <f aca="false">IF(Data!$H120="usa",Data!$A120,"")</f>
        <v/>
      </c>
      <c r="G131" s="1" t="str">
        <f aca="false">IF(Data!$H120="japan",Data!$A120,"")</f>
        <v/>
      </c>
    </row>
    <row r="132" customFormat="false" ht="15" hidden="false" customHeight="true" outlineLevel="0" collapsed="false">
      <c r="F132" s="1" t="str">
        <f aca="false">IF(Data!$H121="usa",Data!$A121,"")</f>
        <v/>
      </c>
      <c r="G132" s="1" t="str">
        <f aca="false">IF(Data!$H121="japan",Data!$A121,"")</f>
        <v/>
      </c>
    </row>
    <row r="133" customFormat="false" ht="15" hidden="false" customHeight="true" outlineLevel="0" collapsed="false">
      <c r="F133" s="1" t="str">
        <f aca="false">IF(Data!$H122="usa",Data!$A122,"")</f>
        <v/>
      </c>
      <c r="G133" s="1" t="str">
        <f aca="false">IF(Data!$H122="japan",Data!$A122,"")</f>
        <v/>
      </c>
    </row>
    <row r="134" customFormat="false" ht="15" hidden="false" customHeight="true" outlineLevel="0" collapsed="false">
      <c r="F134" s="1" t="str">
        <f aca="false">IF(Data!$H123="usa",Data!$A123,"")</f>
        <v/>
      </c>
      <c r="G134" s="1" t="str">
        <f aca="false">IF(Data!$H123="japan",Data!$A123,"")</f>
        <v/>
      </c>
    </row>
    <row r="135" customFormat="false" ht="15" hidden="false" customHeight="true" outlineLevel="0" collapsed="false">
      <c r="F135" s="21" t="n">
        <f aca="false">IF(Data!$H124="usa",Data!$A124,"")</f>
        <v>15</v>
      </c>
      <c r="G135" s="1" t="str">
        <f aca="false">IF(Data!$H124="japan",Data!$A124,"")</f>
        <v/>
      </c>
    </row>
    <row r="136" customFormat="false" ht="15" hidden="false" customHeight="true" outlineLevel="0" collapsed="false">
      <c r="F136" s="1" t="str">
        <f aca="false">IF(Data!$H125="usa",Data!$A125,"")</f>
        <v/>
      </c>
      <c r="G136" s="1" t="str">
        <f aca="false">IF(Data!$H125="japan",Data!$A125,"")</f>
        <v/>
      </c>
    </row>
    <row r="137" customFormat="false" ht="15" hidden="false" customHeight="true" outlineLevel="0" collapsed="false">
      <c r="F137" s="1" t="str">
        <f aca="false">IF(Data!$H126="usa",Data!$A126,"")</f>
        <v/>
      </c>
      <c r="G137" s="21" t="n">
        <f aca="false">IF(Data!$H126="japan",Data!$A126,"")</f>
        <v>20</v>
      </c>
    </row>
    <row r="138" customFormat="false" ht="15" hidden="false" customHeight="true" outlineLevel="0" collapsed="false">
      <c r="F138" s="21" t="n">
        <f aca="false">IF(Data!$H127="usa",Data!$A127,"")</f>
        <v>11</v>
      </c>
      <c r="G138" s="1" t="str">
        <f aca="false">IF(Data!$H127="japan",Data!$A127,"")</f>
        <v/>
      </c>
    </row>
    <row r="139" customFormat="false" ht="15" hidden="false" customHeight="true" outlineLevel="0" collapsed="false">
      <c r="F139" s="21" t="n">
        <f aca="false">IF(Data!$H128="usa",Data!$A128,"")</f>
        <v>20</v>
      </c>
      <c r="G139" s="1" t="str">
        <f aca="false">IF(Data!$H128="japan",Data!$A128,"")</f>
        <v/>
      </c>
    </row>
    <row r="140" customFormat="false" ht="15" hidden="false" customHeight="true" outlineLevel="0" collapsed="false">
      <c r="F140" s="21" t="n">
        <f aca="false">IF(Data!$H129="usa",Data!$A129,"")</f>
        <v>21</v>
      </c>
      <c r="G140" s="1" t="str">
        <f aca="false">IF(Data!$H129="japan",Data!$A129,"")</f>
        <v/>
      </c>
    </row>
    <row r="141" customFormat="false" ht="15" hidden="false" customHeight="true" outlineLevel="0" collapsed="false">
      <c r="F141" s="21" t="n">
        <f aca="false">IF(Data!$H130="usa",Data!$A130,"")</f>
        <v>19</v>
      </c>
      <c r="G141" s="1" t="str">
        <f aca="false">IF(Data!$H130="japan",Data!$A130,"")</f>
        <v/>
      </c>
    </row>
    <row r="142" customFormat="false" ht="15" hidden="false" customHeight="true" outlineLevel="0" collapsed="false">
      <c r="F142" s="21" t="n">
        <f aca="false">IF(Data!$H131="usa",Data!$A131,"")</f>
        <v>15</v>
      </c>
      <c r="G142" s="1" t="str">
        <f aca="false">IF(Data!$H131="japan",Data!$A131,"")</f>
        <v/>
      </c>
    </row>
    <row r="143" customFormat="false" ht="15" hidden="false" customHeight="true" outlineLevel="0" collapsed="false">
      <c r="F143" s="1" t="str">
        <f aca="false">IF(Data!$H132="usa",Data!$A132,"")</f>
        <v/>
      </c>
      <c r="G143" s="21" t="n">
        <f aca="false">IF(Data!$H132="japan",Data!$A132,"")</f>
        <v>31</v>
      </c>
    </row>
    <row r="144" customFormat="false" ht="15" hidden="false" customHeight="true" outlineLevel="0" collapsed="false">
      <c r="F144" s="21" t="n">
        <f aca="false">IF(Data!$H133="usa",Data!$A133,"")</f>
        <v>26</v>
      </c>
      <c r="G144" s="1" t="str">
        <f aca="false">IF(Data!$H133="japan",Data!$A133,"")</f>
        <v/>
      </c>
    </row>
    <row r="145" customFormat="false" ht="15" hidden="false" customHeight="true" outlineLevel="0" collapsed="false">
      <c r="F145" s="1" t="str">
        <f aca="false">IF(Data!$H134="usa",Data!$A134,"")</f>
        <v/>
      </c>
      <c r="G145" s="21" t="n">
        <f aca="false">IF(Data!$H134="japan",Data!$A134,"")</f>
        <v>32</v>
      </c>
    </row>
    <row r="146" customFormat="false" ht="15" hidden="false" customHeight="true" outlineLevel="0" collapsed="false">
      <c r="F146" s="21" t="n">
        <f aca="false">IF(Data!$H135="usa",Data!$A135,"")</f>
        <v>25</v>
      </c>
      <c r="G146" s="1" t="str">
        <f aca="false">IF(Data!$H135="japan",Data!$A135,"")</f>
        <v/>
      </c>
    </row>
    <row r="147" customFormat="false" ht="15" hidden="false" customHeight="true" outlineLevel="0" collapsed="false">
      <c r="F147" s="21" t="n">
        <f aca="false">IF(Data!$H136="usa",Data!$A136,"")</f>
        <v>16</v>
      </c>
      <c r="G147" s="1" t="str">
        <f aca="false">IF(Data!$H136="japan",Data!$A136,"")</f>
        <v/>
      </c>
    </row>
    <row r="148" customFormat="false" ht="15" hidden="false" customHeight="true" outlineLevel="0" collapsed="false">
      <c r="F148" s="21" t="n">
        <f aca="false">IF(Data!$H137="usa",Data!$A137,"")</f>
        <v>16</v>
      </c>
      <c r="G148" s="1" t="str">
        <f aca="false">IF(Data!$H137="japan",Data!$A137,"")</f>
        <v/>
      </c>
    </row>
    <row r="149" customFormat="false" ht="15" hidden="false" customHeight="true" outlineLevel="0" collapsed="false">
      <c r="F149" s="21" t="n">
        <f aca="false">IF(Data!$H138="usa",Data!$A138,"")</f>
        <v>18</v>
      </c>
      <c r="G149" s="1" t="str">
        <f aca="false">IF(Data!$H138="japan",Data!$A138,"")</f>
        <v/>
      </c>
    </row>
    <row r="150" customFormat="false" ht="15" hidden="false" customHeight="true" outlineLevel="0" collapsed="false">
      <c r="F150" s="21" t="n">
        <f aca="false">IF(Data!$H139="usa",Data!$A139,"")</f>
        <v>16</v>
      </c>
      <c r="G150" s="1" t="str">
        <f aca="false">IF(Data!$H139="japan",Data!$A139,"")</f>
        <v/>
      </c>
    </row>
    <row r="151" customFormat="false" ht="15" hidden="false" customHeight="true" outlineLevel="0" collapsed="false">
      <c r="F151" s="21" t="n">
        <f aca="false">IF(Data!$H140="usa",Data!$A140,"")</f>
        <v>13</v>
      </c>
      <c r="G151" s="1" t="str">
        <f aca="false">IF(Data!$H140="japan",Data!$A140,"")</f>
        <v/>
      </c>
    </row>
    <row r="152" customFormat="false" ht="15" hidden="false" customHeight="true" outlineLevel="0" collapsed="false">
      <c r="F152" s="21" t="n">
        <f aca="false">IF(Data!$H141="usa",Data!$A141,"")</f>
        <v>14</v>
      </c>
      <c r="G152" s="1" t="str">
        <f aca="false">IF(Data!$H141="japan",Data!$A141,"")</f>
        <v/>
      </c>
    </row>
    <row r="153" customFormat="false" ht="15" hidden="false" customHeight="true" outlineLevel="0" collapsed="false">
      <c r="F153" s="21" t="n">
        <f aca="false">IF(Data!$H142="usa",Data!$A142,"")</f>
        <v>14</v>
      </c>
      <c r="G153" s="1" t="str">
        <f aca="false">IF(Data!$H142="japan",Data!$A142,"")</f>
        <v/>
      </c>
    </row>
    <row r="154" customFormat="false" ht="15" hidden="false" customHeight="true" outlineLevel="0" collapsed="false">
      <c r="F154" s="21" t="n">
        <f aca="false">IF(Data!$H143="usa",Data!$A143,"")</f>
        <v>14</v>
      </c>
      <c r="G154" s="1" t="str">
        <f aca="false">IF(Data!$H143="japan",Data!$A143,"")</f>
        <v/>
      </c>
    </row>
    <row r="155" customFormat="false" ht="15" hidden="false" customHeight="true" outlineLevel="0" collapsed="false">
      <c r="F155" s="1" t="str">
        <f aca="false">IF(Data!$H144="usa",Data!$A144,"")</f>
        <v/>
      </c>
      <c r="G155" s="1" t="str">
        <f aca="false">IF(Data!$H144="japan",Data!$A144,"")</f>
        <v/>
      </c>
    </row>
    <row r="156" customFormat="false" ht="15" hidden="false" customHeight="true" outlineLevel="0" collapsed="false">
      <c r="F156" s="1" t="str">
        <f aca="false">IF(Data!$H145="usa",Data!$A145,"")</f>
        <v/>
      </c>
      <c r="G156" s="1" t="str">
        <f aca="false">IF(Data!$H145="japan",Data!$A145,"")</f>
        <v/>
      </c>
    </row>
    <row r="157" customFormat="false" ht="15" hidden="false" customHeight="true" outlineLevel="0" collapsed="false">
      <c r="F157" s="1" t="str">
        <f aca="false">IF(Data!$H146="usa",Data!$A146,"")</f>
        <v/>
      </c>
      <c r="G157" s="1" t="str">
        <f aca="false">IF(Data!$H146="japan",Data!$A146,"")</f>
        <v/>
      </c>
    </row>
    <row r="158" customFormat="false" ht="15" hidden="false" customHeight="true" outlineLevel="0" collapsed="false">
      <c r="F158" s="1" t="str">
        <f aca="false">IF(Data!$H147="usa",Data!$A147,"")</f>
        <v/>
      </c>
      <c r="G158" s="21" t="n">
        <f aca="false">IF(Data!$H147="japan",Data!$A147,"")</f>
        <v>31</v>
      </c>
    </row>
    <row r="159" customFormat="false" ht="15" hidden="false" customHeight="true" outlineLevel="0" collapsed="false">
      <c r="F159" s="1" t="str">
        <f aca="false">IF(Data!$H148="usa",Data!$A148,"")</f>
        <v/>
      </c>
      <c r="G159" s="21" t="n">
        <f aca="false">IF(Data!$H148="japan",Data!$A148,"")</f>
        <v>32</v>
      </c>
    </row>
    <row r="160" customFormat="false" ht="15" hidden="false" customHeight="true" outlineLevel="0" collapsed="false">
      <c r="F160" s="21" t="n">
        <f aca="false">IF(Data!$H149="usa",Data!$A149,"")</f>
        <v>28</v>
      </c>
      <c r="G160" s="1" t="str">
        <f aca="false">IF(Data!$H149="japan",Data!$A149,"")</f>
        <v/>
      </c>
    </row>
    <row r="161" customFormat="false" ht="15" hidden="false" customHeight="true" outlineLevel="0" collapsed="false">
      <c r="F161" s="1" t="str">
        <f aca="false">IF(Data!$H150="usa",Data!$A150,"")</f>
        <v/>
      </c>
      <c r="G161" s="1" t="str">
        <f aca="false">IF(Data!$H150="japan",Data!$A150,"")</f>
        <v/>
      </c>
    </row>
    <row r="162" customFormat="false" ht="15" hidden="false" customHeight="true" outlineLevel="0" collapsed="false">
      <c r="F162" s="1" t="str">
        <f aca="false">IF(Data!$H151="usa",Data!$A151,"")</f>
        <v/>
      </c>
      <c r="G162" s="1" t="str">
        <f aca="false">IF(Data!$H151="japan",Data!$A151,"")</f>
        <v/>
      </c>
    </row>
    <row r="163" customFormat="false" ht="15" hidden="false" customHeight="true" outlineLevel="0" collapsed="false">
      <c r="F163" s="1" t="str">
        <f aca="false">IF(Data!$H152="usa",Data!$A152,"")</f>
        <v/>
      </c>
      <c r="G163" s="21" t="n">
        <f aca="false">IF(Data!$H152="japan",Data!$A152,"")</f>
        <v>24</v>
      </c>
    </row>
    <row r="164" customFormat="false" ht="15" hidden="false" customHeight="true" outlineLevel="0" collapsed="false">
      <c r="F164" s="1" t="str">
        <f aca="false">IF(Data!$H153="usa",Data!$A153,"")</f>
        <v/>
      </c>
      <c r="G164" s="21" t="n">
        <f aca="false">IF(Data!$H153="japan",Data!$A153,"")</f>
        <v>26</v>
      </c>
    </row>
    <row r="165" customFormat="false" ht="15" hidden="false" customHeight="true" outlineLevel="0" collapsed="false">
      <c r="F165" s="1" t="str">
        <f aca="false">IF(Data!$H154="usa",Data!$A154,"")</f>
        <v/>
      </c>
      <c r="G165" s="1" t="str">
        <f aca="false">IF(Data!$H154="japan",Data!$A154,"")</f>
        <v/>
      </c>
    </row>
    <row r="166" customFormat="false" ht="15" hidden="false" customHeight="true" outlineLevel="0" collapsed="false">
      <c r="F166" s="21" t="n">
        <f aca="false">IF(Data!$H155="usa",Data!$A155,"")</f>
        <v>19</v>
      </c>
      <c r="G166" s="1" t="str">
        <f aca="false">IF(Data!$H155="japan",Data!$A155,"")</f>
        <v/>
      </c>
    </row>
    <row r="167" customFormat="false" ht="15" hidden="false" customHeight="true" outlineLevel="0" collapsed="false">
      <c r="F167" s="21" t="n">
        <f aca="false">IF(Data!$H156="usa",Data!$A156,"")</f>
        <v>18</v>
      </c>
      <c r="G167" s="1" t="str">
        <f aca="false">IF(Data!$H156="japan",Data!$A156,"")</f>
        <v/>
      </c>
    </row>
    <row r="168" customFormat="false" ht="15" hidden="false" customHeight="true" outlineLevel="0" collapsed="false">
      <c r="F168" s="21" t="n">
        <f aca="false">IF(Data!$H157="usa",Data!$A157,"")</f>
        <v>15</v>
      </c>
      <c r="G168" s="1" t="str">
        <f aca="false">IF(Data!$H157="japan",Data!$A157,"")</f>
        <v/>
      </c>
    </row>
    <row r="169" customFormat="false" ht="15" hidden="false" customHeight="true" outlineLevel="0" collapsed="false">
      <c r="F169" s="21" t="n">
        <f aca="false">IF(Data!$H158="usa",Data!$A158,"")</f>
        <v>15</v>
      </c>
      <c r="G169" s="1" t="str">
        <f aca="false">IF(Data!$H158="japan",Data!$A158,"")</f>
        <v/>
      </c>
    </row>
    <row r="170" customFormat="false" ht="15" hidden="false" customHeight="true" outlineLevel="0" collapsed="false">
      <c r="F170" s="21" t="n">
        <f aca="false">IF(Data!$H159="usa",Data!$A159,"")</f>
        <v>16</v>
      </c>
      <c r="G170" s="1" t="str">
        <f aca="false">IF(Data!$H159="japan",Data!$A159,"")</f>
        <v/>
      </c>
    </row>
    <row r="171" customFormat="false" ht="15" hidden="false" customHeight="true" outlineLevel="0" collapsed="false">
      <c r="F171" s="21" t="n">
        <f aca="false">IF(Data!$H160="usa",Data!$A160,"")</f>
        <v>15</v>
      </c>
      <c r="G171" s="1" t="str">
        <f aca="false">IF(Data!$H160="japan",Data!$A160,"")</f>
        <v/>
      </c>
    </row>
    <row r="172" customFormat="false" ht="15" hidden="false" customHeight="true" outlineLevel="0" collapsed="false">
      <c r="F172" s="21" t="n">
        <f aca="false">IF(Data!$H161="usa",Data!$A161,"")</f>
        <v>16</v>
      </c>
      <c r="G172" s="1" t="str">
        <f aca="false">IF(Data!$H161="japan",Data!$A161,"")</f>
        <v/>
      </c>
    </row>
    <row r="173" customFormat="false" ht="15" hidden="false" customHeight="true" outlineLevel="0" collapsed="false">
      <c r="F173" s="21" t="n">
        <f aca="false">IF(Data!$H162="usa",Data!$A162,"")</f>
        <v>14</v>
      </c>
      <c r="G173" s="1" t="str">
        <f aca="false">IF(Data!$H162="japan",Data!$A162,"")</f>
        <v/>
      </c>
    </row>
    <row r="174" customFormat="false" ht="15" hidden="false" customHeight="true" outlineLevel="0" collapsed="false">
      <c r="F174" s="21" t="n">
        <f aca="false">IF(Data!$H163="usa",Data!$A163,"")</f>
        <v>17</v>
      </c>
      <c r="G174" s="1" t="str">
        <f aca="false">IF(Data!$H163="japan",Data!$A163,"")</f>
        <v/>
      </c>
    </row>
    <row r="175" customFormat="false" ht="15" hidden="false" customHeight="true" outlineLevel="0" collapsed="false">
      <c r="F175" s="21" t="n">
        <f aca="false">IF(Data!$H164="usa",Data!$A164,"")</f>
        <v>16</v>
      </c>
      <c r="G175" s="1" t="str">
        <f aca="false">IF(Data!$H164="japan",Data!$A164,"")</f>
        <v/>
      </c>
    </row>
    <row r="176" customFormat="false" ht="15" hidden="false" customHeight="true" outlineLevel="0" collapsed="false">
      <c r="F176" s="21" t="n">
        <f aca="false">IF(Data!$H165="usa",Data!$A165,"")</f>
        <v>15</v>
      </c>
      <c r="G176" s="1" t="str">
        <f aca="false">IF(Data!$H165="japan",Data!$A165,"")</f>
        <v/>
      </c>
    </row>
    <row r="177" customFormat="false" ht="15" hidden="false" customHeight="true" outlineLevel="0" collapsed="false">
      <c r="F177" s="21" t="n">
        <f aca="false">IF(Data!$H166="usa",Data!$A166,"")</f>
        <v>18</v>
      </c>
      <c r="G177" s="1" t="str">
        <f aca="false">IF(Data!$H166="japan",Data!$A166,"")</f>
        <v/>
      </c>
    </row>
    <row r="178" customFormat="false" ht="15" hidden="false" customHeight="true" outlineLevel="0" collapsed="false">
      <c r="F178" s="21" t="n">
        <f aca="false">IF(Data!$H167="usa",Data!$A167,"")</f>
        <v>21</v>
      </c>
      <c r="G178" s="1" t="str">
        <f aca="false">IF(Data!$H167="japan",Data!$A167,"")</f>
        <v/>
      </c>
    </row>
    <row r="179" customFormat="false" ht="15" hidden="false" customHeight="true" outlineLevel="0" collapsed="false">
      <c r="F179" s="21" t="n">
        <f aca="false">IF(Data!$H168="usa",Data!$A168,"")</f>
        <v>20</v>
      </c>
      <c r="G179" s="1" t="str">
        <f aca="false">IF(Data!$H168="japan",Data!$A168,"")</f>
        <v/>
      </c>
    </row>
    <row r="180" customFormat="false" ht="15" hidden="false" customHeight="true" outlineLevel="0" collapsed="false">
      <c r="F180" s="21" t="n">
        <f aca="false">IF(Data!$H169="usa",Data!$A169,"")</f>
        <v>13</v>
      </c>
      <c r="G180" s="1" t="str">
        <f aca="false">IF(Data!$H169="japan",Data!$A169,"")</f>
        <v/>
      </c>
    </row>
    <row r="181" customFormat="false" ht="15" hidden="false" customHeight="true" outlineLevel="0" collapsed="false">
      <c r="F181" s="1" t="str">
        <f aca="false">IF(Data!$H170="usa",Data!$A170,"")</f>
        <v/>
      </c>
      <c r="G181" s="21" t="n">
        <f aca="false">IF(Data!$H170="japan",Data!$A170,"")</f>
        <v>29</v>
      </c>
    </row>
    <row r="182" customFormat="false" ht="15" hidden="false" customHeight="true" outlineLevel="0" collapsed="false">
      <c r="F182" s="21" t="n">
        <f aca="false">IF(Data!$H171="usa",Data!$A171,"")</f>
        <v>23</v>
      </c>
      <c r="G182" s="1" t="str">
        <f aca="false">IF(Data!$H171="japan",Data!$A171,"")</f>
        <v/>
      </c>
    </row>
    <row r="183" customFormat="false" ht="15" hidden="false" customHeight="true" outlineLevel="0" collapsed="false">
      <c r="F183" s="21" t="n">
        <f aca="false">IF(Data!$H172="usa",Data!$A172,"")</f>
        <v>20</v>
      </c>
      <c r="G183" s="1" t="str">
        <f aca="false">IF(Data!$H172="japan",Data!$A172,"")</f>
        <v/>
      </c>
    </row>
    <row r="184" customFormat="false" ht="15" hidden="false" customHeight="true" outlineLevel="0" collapsed="false">
      <c r="F184" s="21" t="n">
        <f aca="false">IF(Data!$H173="usa",Data!$A173,"")</f>
        <v>23</v>
      </c>
      <c r="G184" s="1" t="str">
        <f aca="false">IF(Data!$H173="japan",Data!$A173,"")</f>
        <v/>
      </c>
    </row>
    <row r="185" customFormat="false" ht="15" hidden="false" customHeight="true" outlineLevel="0" collapsed="false">
      <c r="F185" s="1" t="str">
        <f aca="false">IF(Data!$H174="usa",Data!$A174,"")</f>
        <v/>
      </c>
      <c r="G185" s="21" t="n">
        <f aca="false">IF(Data!$H174="japan",Data!$A174,"")</f>
        <v>24</v>
      </c>
    </row>
    <row r="186" customFormat="false" ht="15" hidden="false" customHeight="true" outlineLevel="0" collapsed="false">
      <c r="F186" s="1" t="str">
        <f aca="false">IF(Data!$H175="usa",Data!$A175,"")</f>
        <v/>
      </c>
      <c r="G186" s="1" t="str">
        <f aca="false">IF(Data!$H175="japan",Data!$A175,"")</f>
        <v/>
      </c>
    </row>
    <row r="187" customFormat="false" ht="15" hidden="false" customHeight="true" outlineLevel="0" collapsed="false">
      <c r="F187" s="1" t="str">
        <f aca="false">IF(Data!$H176="usa",Data!$A176,"")</f>
        <v/>
      </c>
      <c r="G187" s="21" t="n">
        <f aca="false">IF(Data!$H176="japan",Data!$A176,"")</f>
        <v>24</v>
      </c>
    </row>
    <row r="188" customFormat="false" ht="15" hidden="false" customHeight="true" outlineLevel="0" collapsed="false">
      <c r="F188" s="21" t="n">
        <f aca="false">IF(Data!$H177="usa",Data!$A177,"")</f>
        <v>18</v>
      </c>
      <c r="G188" s="1" t="str">
        <f aca="false">IF(Data!$H177="japan",Data!$A177,"")</f>
        <v/>
      </c>
    </row>
    <row r="189" customFormat="false" ht="15" hidden="false" customHeight="true" outlineLevel="0" collapsed="false">
      <c r="F189" s="1" t="str">
        <f aca="false">IF(Data!$H178="usa",Data!$A178,"")</f>
        <v/>
      </c>
      <c r="G189" s="1" t="str">
        <f aca="false">IF(Data!$H178="japan",Data!$A178,"")</f>
        <v/>
      </c>
    </row>
    <row r="190" customFormat="false" ht="15" hidden="false" customHeight="true" outlineLevel="0" collapsed="false">
      <c r="F190" s="21" t="n">
        <f aca="false">IF(Data!$H179="usa",Data!$A179,"")</f>
        <v>19</v>
      </c>
      <c r="G190" s="1" t="str">
        <f aca="false">IF(Data!$H179="japan",Data!$A179,"")</f>
        <v/>
      </c>
    </row>
    <row r="191" customFormat="false" ht="15" hidden="false" customHeight="true" outlineLevel="0" collapsed="false">
      <c r="F191" s="1" t="str">
        <f aca="false">IF(Data!$H180="usa",Data!$A180,"")</f>
        <v/>
      </c>
      <c r="G191" s="1" t="str">
        <f aca="false">IF(Data!$H180="japan",Data!$A180,"")</f>
        <v/>
      </c>
    </row>
    <row r="192" customFormat="false" ht="15" hidden="false" customHeight="true" outlineLevel="0" collapsed="false">
      <c r="F192" s="1" t="str">
        <f aca="false">IF(Data!$H181="usa",Data!$A181,"")</f>
        <v/>
      </c>
      <c r="G192" s="1" t="str">
        <f aca="false">IF(Data!$H181="japan",Data!$A181,"")</f>
        <v/>
      </c>
    </row>
    <row r="193" customFormat="false" ht="15" hidden="false" customHeight="true" outlineLevel="0" collapsed="false">
      <c r="F193" s="1" t="str">
        <f aca="false">IF(Data!$H182="usa",Data!$A182,"")</f>
        <v/>
      </c>
      <c r="G193" s="1" t="str">
        <f aca="false">IF(Data!$H182="japan",Data!$A182,"")</f>
        <v/>
      </c>
    </row>
    <row r="194" customFormat="false" ht="15" hidden="false" customHeight="true" outlineLevel="0" collapsed="false">
      <c r="F194" s="1" t="str">
        <f aca="false">IF(Data!$H183="usa",Data!$A183,"")</f>
        <v/>
      </c>
      <c r="G194" s="1" t="str">
        <f aca="false">IF(Data!$H183="japan",Data!$A183,"")</f>
        <v/>
      </c>
    </row>
    <row r="195" customFormat="false" ht="15" hidden="false" customHeight="true" outlineLevel="0" collapsed="false">
      <c r="F195" s="1" t="str">
        <f aca="false">IF(Data!$H184="usa",Data!$A184,"")</f>
        <v/>
      </c>
      <c r="G195" s="21" t="n">
        <f aca="false">IF(Data!$H184="japan",Data!$A184,"")</f>
        <v>33</v>
      </c>
    </row>
    <row r="196" customFormat="false" ht="15" hidden="false" customHeight="true" outlineLevel="0" collapsed="false">
      <c r="F196" s="1" t="str">
        <f aca="false">IF(Data!$H185="usa",Data!$A185,"")</f>
        <v/>
      </c>
      <c r="G196" s="1" t="str">
        <f aca="false">IF(Data!$H185="japan",Data!$A185,"")</f>
        <v/>
      </c>
    </row>
    <row r="197" customFormat="false" ht="15" hidden="false" customHeight="true" outlineLevel="0" collapsed="false">
      <c r="F197" s="1" t="str">
        <f aca="false">IF(Data!$H186="usa",Data!$A186,"")</f>
        <v/>
      </c>
      <c r="G197" s="1" t="str">
        <f aca="false">IF(Data!$H186="japan",Data!$A186,"")</f>
        <v/>
      </c>
    </row>
    <row r="198" customFormat="false" ht="15" hidden="false" customHeight="true" outlineLevel="0" collapsed="false">
      <c r="F198" s="21" t="n">
        <f aca="false">IF(Data!$H187="usa",Data!$A187,"")</f>
        <v>25</v>
      </c>
      <c r="G198" s="1" t="str">
        <f aca="false">IF(Data!$H187="japan",Data!$A187,"")</f>
        <v/>
      </c>
    </row>
    <row r="199" customFormat="false" ht="15" hidden="false" customHeight="true" outlineLevel="0" collapsed="false">
      <c r="F199" s="21" t="n">
        <f aca="false">IF(Data!$H188="usa",Data!$A188,"")</f>
        <v>26</v>
      </c>
      <c r="G199" s="1" t="str">
        <f aca="false">IF(Data!$H188="japan",Data!$A188,"")</f>
        <v/>
      </c>
    </row>
    <row r="200" customFormat="false" ht="15" hidden="false" customHeight="true" outlineLevel="0" collapsed="false">
      <c r="F200" s="1" t="str">
        <f aca="false">IF(Data!$H189="usa",Data!$A189,"")</f>
        <v/>
      </c>
      <c r="G200" s="1" t="str">
        <f aca="false">IF(Data!$H189="japan",Data!$A189,"")</f>
        <v/>
      </c>
    </row>
    <row r="201" customFormat="false" ht="15" hidden="false" customHeight="true" outlineLevel="0" collapsed="false">
      <c r="F201" s="21" t="n">
        <f aca="false">IF(Data!$H190="usa",Data!$A190,"")</f>
        <v>17.5</v>
      </c>
      <c r="G201" s="1" t="str">
        <f aca="false">IF(Data!$H190="japan",Data!$A190,"")</f>
        <v/>
      </c>
    </row>
    <row r="202" customFormat="false" ht="15" hidden="false" customHeight="true" outlineLevel="0" collapsed="false">
      <c r="F202" s="21" t="n">
        <f aca="false">IF(Data!$H191="usa",Data!$A191,"")</f>
        <v>16</v>
      </c>
      <c r="G202" s="1" t="str">
        <f aca="false">IF(Data!$H191="japan",Data!$A191,"")</f>
        <v/>
      </c>
    </row>
    <row r="203" customFormat="false" ht="15" hidden="false" customHeight="true" outlineLevel="0" collapsed="false">
      <c r="F203" s="21" t="n">
        <f aca="false">IF(Data!$H192="usa",Data!$A192,"")</f>
        <v>15.5</v>
      </c>
      <c r="G203" s="1" t="str">
        <f aca="false">IF(Data!$H192="japan",Data!$A192,"")</f>
        <v/>
      </c>
    </row>
    <row r="204" customFormat="false" ht="15" hidden="false" customHeight="true" outlineLevel="0" collapsed="false">
      <c r="F204" s="21" t="n">
        <f aca="false">IF(Data!$H193="usa",Data!$A193,"")</f>
        <v>14.5</v>
      </c>
      <c r="G204" s="1" t="str">
        <f aca="false">IF(Data!$H193="japan",Data!$A193,"")</f>
        <v/>
      </c>
    </row>
    <row r="205" customFormat="false" ht="15" hidden="false" customHeight="true" outlineLevel="0" collapsed="false">
      <c r="F205" s="21" t="n">
        <f aca="false">IF(Data!$H194="usa",Data!$A194,"")</f>
        <v>22</v>
      </c>
      <c r="G205" s="1" t="str">
        <f aca="false">IF(Data!$H194="japan",Data!$A194,"")</f>
        <v/>
      </c>
    </row>
    <row r="206" customFormat="false" ht="15" hidden="false" customHeight="true" outlineLevel="0" collapsed="false">
      <c r="F206" s="21" t="n">
        <f aca="false">IF(Data!$H195="usa",Data!$A195,"")</f>
        <v>22</v>
      </c>
      <c r="G206" s="1" t="str">
        <f aca="false">IF(Data!$H195="japan",Data!$A195,"")</f>
        <v/>
      </c>
    </row>
    <row r="207" customFormat="false" ht="15" hidden="false" customHeight="true" outlineLevel="0" collapsed="false">
      <c r="F207" s="21" t="n">
        <f aca="false">IF(Data!$H196="usa",Data!$A196,"")</f>
        <v>24</v>
      </c>
      <c r="G207" s="1" t="str">
        <f aca="false">IF(Data!$H196="japan",Data!$A196,"")</f>
        <v/>
      </c>
    </row>
    <row r="208" customFormat="false" ht="15" hidden="false" customHeight="true" outlineLevel="0" collapsed="false">
      <c r="F208" s="21" t="n">
        <f aca="false">IF(Data!$H197="usa",Data!$A197,"")</f>
        <v>22.5</v>
      </c>
      <c r="G208" s="1" t="str">
        <f aca="false">IF(Data!$H197="japan",Data!$A197,"")</f>
        <v/>
      </c>
    </row>
    <row r="209" customFormat="false" ht="15" hidden="false" customHeight="true" outlineLevel="0" collapsed="false">
      <c r="F209" s="21" t="n">
        <f aca="false">IF(Data!$H198="usa",Data!$A198,"")</f>
        <v>29</v>
      </c>
      <c r="G209" s="1" t="str">
        <f aca="false">IF(Data!$H198="japan",Data!$A198,"")</f>
        <v/>
      </c>
    </row>
    <row r="210" customFormat="false" ht="15" hidden="false" customHeight="true" outlineLevel="0" collapsed="false">
      <c r="F210" s="21" t="n">
        <f aca="false">IF(Data!$H199="usa",Data!$A199,"")</f>
        <v>24.5</v>
      </c>
      <c r="G210" s="1" t="str">
        <f aca="false">IF(Data!$H199="japan",Data!$A199,"")</f>
        <v/>
      </c>
    </row>
    <row r="211" customFormat="false" ht="15" hidden="false" customHeight="true" outlineLevel="0" collapsed="false">
      <c r="F211" s="1" t="str">
        <f aca="false">IF(Data!$H200="usa",Data!$A200,"")</f>
        <v/>
      </c>
      <c r="G211" s="1" t="str">
        <f aca="false">IF(Data!$H200="japan",Data!$A200,"")</f>
        <v/>
      </c>
    </row>
    <row r="212" customFormat="false" ht="15" hidden="false" customHeight="true" outlineLevel="0" collapsed="false">
      <c r="F212" s="1" t="str">
        <f aca="false">IF(Data!$H201="usa",Data!$A201,"")</f>
        <v/>
      </c>
      <c r="G212" s="21" t="n">
        <f aca="false">IF(Data!$H201="japan",Data!$A201,"")</f>
        <v>33</v>
      </c>
    </row>
    <row r="213" customFormat="false" ht="15" hidden="false" customHeight="true" outlineLevel="0" collapsed="false">
      <c r="F213" s="21" t="n">
        <f aca="false">IF(Data!$H202="usa",Data!$A202,"")</f>
        <v>20</v>
      </c>
      <c r="G213" s="1" t="str">
        <f aca="false">IF(Data!$H202="japan",Data!$A202,"")</f>
        <v/>
      </c>
    </row>
    <row r="214" customFormat="false" ht="15" hidden="false" customHeight="true" outlineLevel="0" collapsed="false">
      <c r="F214" s="21" t="n">
        <f aca="false">IF(Data!$H203="usa",Data!$A203,"")</f>
        <v>18</v>
      </c>
      <c r="G214" s="1" t="str">
        <f aca="false">IF(Data!$H203="japan",Data!$A203,"")</f>
        <v/>
      </c>
    </row>
    <row r="215" customFormat="false" ht="15" hidden="false" customHeight="true" outlineLevel="0" collapsed="false">
      <c r="F215" s="21" t="n">
        <f aca="false">IF(Data!$H204="usa",Data!$A204,"")</f>
        <v>18.5</v>
      </c>
      <c r="G215" s="1" t="str">
        <f aca="false">IF(Data!$H204="japan",Data!$A204,"")</f>
        <v/>
      </c>
    </row>
    <row r="216" customFormat="false" ht="15" hidden="false" customHeight="true" outlineLevel="0" collapsed="false">
      <c r="F216" s="21" t="n">
        <f aca="false">IF(Data!$H205="usa",Data!$A205,"")</f>
        <v>17.5</v>
      </c>
      <c r="G216" s="1" t="str">
        <f aca="false">IF(Data!$H205="japan",Data!$A205,"")</f>
        <v/>
      </c>
    </row>
    <row r="217" customFormat="false" ht="15" hidden="false" customHeight="true" outlineLevel="0" collapsed="false">
      <c r="F217" s="1" t="str">
        <f aca="false">IF(Data!$H206="usa",Data!$A206,"")</f>
        <v/>
      </c>
      <c r="G217" s="1" t="str">
        <f aca="false">IF(Data!$H206="japan",Data!$A206,"")</f>
        <v/>
      </c>
    </row>
    <row r="218" customFormat="false" ht="15" hidden="false" customHeight="true" outlineLevel="0" collapsed="false">
      <c r="F218" s="1" t="str">
        <f aca="false">IF(Data!$H207="usa",Data!$A207,"")</f>
        <v/>
      </c>
      <c r="G218" s="21" t="n">
        <f aca="false">IF(Data!$H207="japan",Data!$A207,"")</f>
        <v>32</v>
      </c>
    </row>
    <row r="219" customFormat="false" ht="15" hidden="false" customHeight="true" outlineLevel="0" collapsed="false">
      <c r="F219" s="1" t="str">
        <f aca="false">IF(Data!$H208="usa",Data!$A208,"")</f>
        <v/>
      </c>
      <c r="G219" s="21" t="n">
        <f aca="false">IF(Data!$H208="japan",Data!$A208,"")</f>
        <v>28</v>
      </c>
    </row>
    <row r="220" customFormat="false" ht="15" hidden="false" customHeight="true" outlineLevel="0" collapsed="false">
      <c r="F220" s="21" t="n">
        <f aca="false">IF(Data!$H209="usa",Data!$A209,"")</f>
        <v>26.5</v>
      </c>
      <c r="G220" s="1" t="str">
        <f aca="false">IF(Data!$H209="japan",Data!$A209,"")</f>
        <v/>
      </c>
    </row>
    <row r="221" customFormat="false" ht="15" hidden="false" customHeight="true" outlineLevel="0" collapsed="false">
      <c r="F221" s="1" t="str">
        <f aca="false">IF(Data!$H210="usa",Data!$A210,"")</f>
        <v/>
      </c>
      <c r="G221" s="1" t="str">
        <f aca="false">IF(Data!$H210="japan",Data!$A210,"")</f>
        <v/>
      </c>
    </row>
    <row r="222" customFormat="false" ht="15" hidden="false" customHeight="true" outlineLevel="0" collapsed="false">
      <c r="F222" s="21" t="n">
        <f aca="false">IF(Data!$H211="usa",Data!$A211,"")</f>
        <v>13</v>
      </c>
      <c r="G222" s="1" t="str">
        <f aca="false">IF(Data!$H211="japan",Data!$A211,"")</f>
        <v/>
      </c>
    </row>
    <row r="223" customFormat="false" ht="15" hidden="false" customHeight="true" outlineLevel="0" collapsed="false">
      <c r="F223" s="1" t="str">
        <f aca="false">IF(Data!$H212="usa",Data!$A212,"")</f>
        <v/>
      </c>
      <c r="G223" s="1" t="str">
        <f aca="false">IF(Data!$H212="japan",Data!$A212,"")</f>
        <v/>
      </c>
    </row>
    <row r="224" customFormat="false" ht="15" hidden="false" customHeight="true" outlineLevel="0" collapsed="false">
      <c r="F224" s="1" t="str">
        <f aca="false">IF(Data!$H213="usa",Data!$A213,"")</f>
        <v/>
      </c>
      <c r="G224" s="21" t="n">
        <f aca="false">IF(Data!$H213="japan",Data!$A213,"")</f>
        <v>19</v>
      </c>
    </row>
    <row r="225" customFormat="false" ht="15" hidden="false" customHeight="true" outlineLevel="0" collapsed="false">
      <c r="F225" s="1" t="str">
        <f aca="false">IF(Data!$H214="usa",Data!$A214,"")</f>
        <v/>
      </c>
      <c r="G225" s="1" t="str">
        <f aca="false">IF(Data!$H214="japan",Data!$A214,"")</f>
        <v/>
      </c>
    </row>
    <row r="226" customFormat="false" ht="15" hidden="false" customHeight="true" outlineLevel="0" collapsed="false">
      <c r="F226" s="21" t="n">
        <f aca="false">IF(Data!$H215="usa",Data!$A215,"")</f>
        <v>16.5</v>
      </c>
      <c r="G226" s="1" t="str">
        <f aca="false">IF(Data!$H215="japan",Data!$A215,"")</f>
        <v/>
      </c>
    </row>
    <row r="227" customFormat="false" ht="15" hidden="false" customHeight="true" outlineLevel="0" collapsed="false">
      <c r="F227" s="21" t="n">
        <f aca="false">IF(Data!$H216="usa",Data!$A216,"")</f>
        <v>13</v>
      </c>
      <c r="G227" s="1" t="str">
        <f aca="false">IF(Data!$H216="japan",Data!$A216,"")</f>
        <v/>
      </c>
    </row>
    <row r="228" customFormat="false" ht="15" hidden="false" customHeight="true" outlineLevel="0" collapsed="false">
      <c r="F228" s="21" t="n">
        <f aca="false">IF(Data!$H217="usa",Data!$A217,"")</f>
        <v>13</v>
      </c>
      <c r="G228" s="1" t="str">
        <f aca="false">IF(Data!$H217="japan",Data!$A217,"")</f>
        <v/>
      </c>
    </row>
    <row r="229" customFormat="false" ht="15" hidden="false" customHeight="true" outlineLevel="0" collapsed="false">
      <c r="F229" s="21" t="n">
        <f aca="false">IF(Data!$H218="usa",Data!$A218,"")</f>
        <v>13</v>
      </c>
      <c r="G229" s="1" t="str">
        <f aca="false">IF(Data!$H218="japan",Data!$A218,"")</f>
        <v/>
      </c>
    </row>
    <row r="230" customFormat="false" ht="15" hidden="false" customHeight="true" outlineLevel="0" collapsed="false">
      <c r="F230" s="1" t="str">
        <f aca="false">IF(Data!$H219="usa",Data!$A219,"")</f>
        <v/>
      </c>
      <c r="G230" s="21" t="n">
        <f aca="false">IF(Data!$H219="japan",Data!$A219,"")</f>
        <v>31.5</v>
      </c>
    </row>
    <row r="231" customFormat="false" ht="15" hidden="false" customHeight="true" outlineLevel="0" collapsed="false">
      <c r="F231" s="21" t="n">
        <f aca="false">IF(Data!$H220="usa",Data!$A220,"")</f>
        <v>30</v>
      </c>
      <c r="G231" s="1" t="str">
        <f aca="false">IF(Data!$H220="japan",Data!$A220,"")</f>
        <v/>
      </c>
    </row>
    <row r="232" customFormat="false" ht="15" hidden="false" customHeight="true" outlineLevel="0" collapsed="false">
      <c r="F232" s="1" t="str">
        <f aca="false">IF(Data!$H221="usa",Data!$A221,"")</f>
        <v/>
      </c>
      <c r="G232" s="1" t="str">
        <f aca="false">IF(Data!$H221="japan",Data!$A221,"")</f>
        <v/>
      </c>
    </row>
    <row r="233" customFormat="false" ht="15" hidden="false" customHeight="true" outlineLevel="0" collapsed="false">
      <c r="F233" s="21" t="n">
        <f aca="false">IF(Data!$H222="usa",Data!$A222,"")</f>
        <v>25.5</v>
      </c>
      <c r="G233" s="1" t="str">
        <f aca="false">IF(Data!$H222="japan",Data!$A222,"")</f>
        <v/>
      </c>
    </row>
    <row r="234" customFormat="false" ht="15" hidden="false" customHeight="true" outlineLevel="0" collapsed="false">
      <c r="F234" s="1" t="str">
        <f aca="false">IF(Data!$H223="usa",Data!$A223,"")</f>
        <v/>
      </c>
      <c r="G234" s="21" t="n">
        <f aca="false">IF(Data!$H223="japan",Data!$A223,"")</f>
        <v>33.5</v>
      </c>
    </row>
    <row r="235" customFormat="false" ht="15" hidden="false" customHeight="true" outlineLevel="0" collapsed="false">
      <c r="F235" s="21" t="n">
        <f aca="false">IF(Data!$H224="usa",Data!$A224,"")</f>
        <v>17.5</v>
      </c>
      <c r="G235" s="1" t="str">
        <f aca="false">IF(Data!$H224="japan",Data!$A224,"")</f>
        <v/>
      </c>
    </row>
    <row r="236" customFormat="false" ht="15" hidden="false" customHeight="true" outlineLevel="0" collapsed="false">
      <c r="F236" s="21" t="n">
        <f aca="false">IF(Data!$H225="usa",Data!$A225,"")</f>
        <v>17</v>
      </c>
      <c r="G236" s="1" t="str">
        <f aca="false">IF(Data!$H225="japan",Data!$A225,"")</f>
        <v/>
      </c>
    </row>
    <row r="237" customFormat="false" ht="15" hidden="false" customHeight="true" outlineLevel="0" collapsed="false">
      <c r="F237" s="21" t="n">
        <f aca="false">IF(Data!$H226="usa",Data!$A226,"")</f>
        <v>15.5</v>
      </c>
      <c r="G237" s="1" t="str">
        <f aca="false">IF(Data!$H226="japan",Data!$A226,"")</f>
        <v/>
      </c>
    </row>
    <row r="238" customFormat="false" ht="15" hidden="false" customHeight="true" outlineLevel="0" collapsed="false">
      <c r="F238" s="21" t="n">
        <f aca="false">IF(Data!$H227="usa",Data!$A227,"")</f>
        <v>15</v>
      </c>
      <c r="G238" s="1" t="str">
        <f aca="false">IF(Data!$H227="japan",Data!$A227,"")</f>
        <v/>
      </c>
    </row>
    <row r="239" customFormat="false" ht="15" hidden="false" customHeight="true" outlineLevel="0" collapsed="false">
      <c r="F239" s="21" t="n">
        <f aca="false">IF(Data!$H228="usa",Data!$A228,"")</f>
        <v>17.5</v>
      </c>
      <c r="G239" s="1" t="str">
        <f aca="false">IF(Data!$H228="japan",Data!$A228,"")</f>
        <v/>
      </c>
    </row>
    <row r="240" customFormat="false" ht="15" hidden="false" customHeight="true" outlineLevel="0" collapsed="false">
      <c r="F240" s="21" t="n">
        <f aca="false">IF(Data!$H229="usa",Data!$A229,"")</f>
        <v>20.5</v>
      </c>
      <c r="G240" s="1" t="str">
        <f aca="false">IF(Data!$H229="japan",Data!$A229,"")</f>
        <v/>
      </c>
    </row>
    <row r="241" customFormat="false" ht="15" hidden="false" customHeight="true" outlineLevel="0" collapsed="false">
      <c r="F241" s="21" t="n">
        <f aca="false">IF(Data!$H230="usa",Data!$A230,"")</f>
        <v>19</v>
      </c>
      <c r="G241" s="1" t="str">
        <f aca="false">IF(Data!$H230="japan",Data!$A230,"")</f>
        <v/>
      </c>
    </row>
    <row r="242" customFormat="false" ht="15" hidden="false" customHeight="true" outlineLevel="0" collapsed="false">
      <c r="F242" s="21" t="n">
        <f aca="false">IF(Data!$H231="usa",Data!$A231,"")</f>
        <v>18.5</v>
      </c>
      <c r="G242" s="1" t="str">
        <f aca="false">IF(Data!$H231="japan",Data!$A231,"")</f>
        <v/>
      </c>
    </row>
    <row r="243" customFormat="false" ht="15" hidden="false" customHeight="true" outlineLevel="0" collapsed="false">
      <c r="F243" s="21" t="n">
        <f aca="false">IF(Data!$H232="usa",Data!$A232,"")</f>
        <v>16</v>
      </c>
      <c r="G243" s="1" t="str">
        <f aca="false">IF(Data!$H232="japan",Data!$A232,"")</f>
        <v/>
      </c>
    </row>
    <row r="244" customFormat="false" ht="15" hidden="false" customHeight="true" outlineLevel="0" collapsed="false">
      <c r="F244" s="21" t="n">
        <f aca="false">IF(Data!$H233="usa",Data!$A233,"")</f>
        <v>15.5</v>
      </c>
      <c r="G244" s="1" t="str">
        <f aca="false">IF(Data!$H233="japan",Data!$A233,"")</f>
        <v/>
      </c>
    </row>
    <row r="245" customFormat="false" ht="15" hidden="false" customHeight="true" outlineLevel="0" collapsed="false">
      <c r="F245" s="21" t="n">
        <f aca="false">IF(Data!$H234="usa",Data!$A234,"")</f>
        <v>15.5</v>
      </c>
      <c r="G245" s="1" t="str">
        <f aca="false">IF(Data!$H234="japan",Data!$A234,"")</f>
        <v/>
      </c>
    </row>
    <row r="246" customFormat="false" ht="15" hidden="false" customHeight="true" outlineLevel="0" collapsed="false">
      <c r="F246" s="21" t="n">
        <f aca="false">IF(Data!$H235="usa",Data!$A235,"")</f>
        <v>16</v>
      </c>
      <c r="G246" s="1" t="str">
        <f aca="false">IF(Data!$H235="japan",Data!$A235,"")</f>
        <v/>
      </c>
    </row>
    <row r="247" customFormat="false" ht="15" hidden="false" customHeight="true" outlineLevel="0" collapsed="false">
      <c r="F247" s="1" t="str">
        <f aca="false">IF(Data!$H236="usa",Data!$A236,"")</f>
        <v/>
      </c>
      <c r="G247" s="1" t="str">
        <f aca="false">IF(Data!$H236="japan",Data!$A236,"")</f>
        <v/>
      </c>
    </row>
    <row r="248" customFormat="false" ht="15" hidden="false" customHeight="true" outlineLevel="0" collapsed="false">
      <c r="F248" s="21" t="n">
        <f aca="false">IF(Data!$H237="usa",Data!$A237,"")</f>
        <v>24.5</v>
      </c>
      <c r="G248" s="1" t="str">
        <f aca="false">IF(Data!$H237="japan",Data!$A237,"")</f>
        <v/>
      </c>
    </row>
    <row r="249" customFormat="false" ht="15" hidden="false" customHeight="true" outlineLevel="0" collapsed="false">
      <c r="F249" s="1" t="str">
        <f aca="false">IF(Data!$H238="usa",Data!$A238,"")</f>
        <v/>
      </c>
      <c r="G249" s="21" t="n">
        <f aca="false">IF(Data!$H238="japan",Data!$A238,"")</f>
        <v>26</v>
      </c>
    </row>
    <row r="250" customFormat="false" ht="15" hidden="false" customHeight="true" outlineLevel="0" collapsed="false">
      <c r="F250" s="21" t="n">
        <f aca="false">IF(Data!$H239="usa",Data!$A239,"")</f>
        <v>25.5</v>
      </c>
      <c r="G250" s="1" t="str">
        <f aca="false">IF(Data!$H239="japan",Data!$A239,"")</f>
        <v/>
      </c>
    </row>
    <row r="251" customFormat="false" ht="15" hidden="false" customHeight="true" outlineLevel="0" collapsed="false">
      <c r="F251" s="21" t="n">
        <f aca="false">IF(Data!$H240="usa",Data!$A240,"")</f>
        <v>30.5</v>
      </c>
      <c r="G251" s="1" t="str">
        <f aca="false">IF(Data!$H240="japan",Data!$A240,"")</f>
        <v/>
      </c>
    </row>
    <row r="252" customFormat="false" ht="15" hidden="false" customHeight="true" outlineLevel="0" collapsed="false">
      <c r="F252" s="21" t="n">
        <f aca="false">IF(Data!$H241="usa",Data!$A241,"")</f>
        <v>33.5</v>
      </c>
      <c r="G252" s="1" t="str">
        <f aca="false">IF(Data!$H241="japan",Data!$A241,"")</f>
        <v/>
      </c>
    </row>
    <row r="253" customFormat="false" ht="15" hidden="false" customHeight="true" outlineLevel="0" collapsed="false">
      <c r="F253" s="1" t="str">
        <f aca="false">IF(Data!$H242="usa",Data!$A242,"")</f>
        <v/>
      </c>
      <c r="G253" s="21" t="n">
        <f aca="false">IF(Data!$H242="japan",Data!$A242,"")</f>
        <v>30</v>
      </c>
    </row>
    <row r="254" customFormat="false" ht="15" hidden="false" customHeight="true" outlineLevel="0" collapsed="false">
      <c r="F254" s="1" t="str">
        <f aca="false">IF(Data!$H243="usa",Data!$A243,"")</f>
        <v/>
      </c>
      <c r="G254" s="1" t="str">
        <f aca="false">IF(Data!$H243="japan",Data!$A243,"")</f>
        <v/>
      </c>
    </row>
    <row r="255" customFormat="false" ht="15" hidden="false" customHeight="true" outlineLevel="0" collapsed="false">
      <c r="F255" s="1" t="str">
        <f aca="false">IF(Data!$H244="usa",Data!$A244,"")</f>
        <v/>
      </c>
      <c r="G255" s="21" t="n">
        <f aca="false">IF(Data!$H244="japan",Data!$A244,"")</f>
        <v>22</v>
      </c>
    </row>
    <row r="256" customFormat="false" ht="15" hidden="false" customHeight="true" outlineLevel="0" collapsed="false">
      <c r="F256" s="1" t="str">
        <f aca="false">IF(Data!$H245="usa",Data!$A245,"")</f>
        <v/>
      </c>
      <c r="G256" s="1" t="str">
        <f aca="false">IF(Data!$H245="japan",Data!$A245,"")</f>
        <v/>
      </c>
    </row>
    <row r="257" customFormat="false" ht="15" hidden="false" customHeight="true" outlineLevel="0" collapsed="false">
      <c r="F257" s="1" t="str">
        <f aca="false">IF(Data!$H246="usa",Data!$A246,"")</f>
        <v/>
      </c>
      <c r="G257" s="21" t="n">
        <f aca="false">IF(Data!$H246="japan",Data!$A246,"")</f>
        <v>21.5</v>
      </c>
    </row>
    <row r="258" customFormat="false" ht="15" hidden="false" customHeight="true" outlineLevel="0" collapsed="false">
      <c r="F258" s="1" t="str">
        <f aca="false">IF(Data!$H247="usa",Data!$A247,"")</f>
        <v/>
      </c>
      <c r="G258" s="1" t="str">
        <f aca="false">IF(Data!$H247="japan",Data!$A247,"")</f>
        <v/>
      </c>
    </row>
    <row r="259" customFormat="false" ht="15" hidden="false" customHeight="true" outlineLevel="0" collapsed="false">
      <c r="F259" s="21" t="n">
        <f aca="false">IF(Data!$H248="usa",Data!$A248,"")</f>
        <v>36.1</v>
      </c>
      <c r="G259" s="1" t="str">
        <f aca="false">IF(Data!$H248="japan",Data!$A248,"")</f>
        <v/>
      </c>
    </row>
    <row r="260" customFormat="false" ht="15" hidden="false" customHeight="true" outlineLevel="0" collapsed="false">
      <c r="F260" s="1" t="str">
        <f aca="false">IF(Data!$H249="usa",Data!$A249,"")</f>
        <v/>
      </c>
      <c r="G260" s="21" t="n">
        <f aca="false">IF(Data!$H249="japan",Data!$A249,"")</f>
        <v>32.8</v>
      </c>
    </row>
    <row r="261" customFormat="false" ht="15" hidden="false" customHeight="true" outlineLevel="0" collapsed="false">
      <c r="F261" s="1" t="str">
        <f aca="false">IF(Data!$H250="usa",Data!$A250,"")</f>
        <v/>
      </c>
      <c r="G261" s="21" t="n">
        <f aca="false">IF(Data!$H250="japan",Data!$A250,"")</f>
        <v>39.4</v>
      </c>
    </row>
    <row r="262" customFormat="false" ht="15" hidden="false" customHeight="true" outlineLevel="0" collapsed="false">
      <c r="F262" s="1" t="str">
        <f aca="false">IF(Data!$H251="usa",Data!$A251,"")</f>
        <v/>
      </c>
      <c r="G262" s="21" t="n">
        <f aca="false">IF(Data!$H251="japan",Data!$A251,"")</f>
        <v>36.1</v>
      </c>
    </row>
    <row r="263" customFormat="false" ht="15" hidden="false" customHeight="true" outlineLevel="0" collapsed="false">
      <c r="F263" s="21" t="n">
        <f aca="false">IF(Data!$H252="usa",Data!$A252,"")</f>
        <v>19.9</v>
      </c>
      <c r="G263" s="1" t="str">
        <f aca="false">IF(Data!$H252="japan",Data!$A252,"")</f>
        <v/>
      </c>
    </row>
    <row r="264" customFormat="false" ht="15" hidden="false" customHeight="true" outlineLevel="0" collapsed="false">
      <c r="F264" s="21" t="n">
        <f aca="false">IF(Data!$H253="usa",Data!$A253,"")</f>
        <v>19.4</v>
      </c>
      <c r="G264" s="1" t="str">
        <f aca="false">IF(Data!$H253="japan",Data!$A253,"")</f>
        <v/>
      </c>
    </row>
    <row r="265" customFormat="false" ht="15" hidden="false" customHeight="true" outlineLevel="0" collapsed="false">
      <c r="F265" s="21" t="n">
        <f aca="false">IF(Data!$H254="usa",Data!$A254,"")</f>
        <v>20.2</v>
      </c>
      <c r="G265" s="1" t="str">
        <f aca="false">IF(Data!$H254="japan",Data!$A254,"")</f>
        <v/>
      </c>
    </row>
    <row r="266" customFormat="false" ht="15" hidden="false" customHeight="true" outlineLevel="0" collapsed="false">
      <c r="F266" s="21" t="n">
        <f aca="false">IF(Data!$H255="usa",Data!$A255,"")</f>
        <v>19.2</v>
      </c>
      <c r="G266" s="1" t="str">
        <f aca="false">IF(Data!$H255="japan",Data!$A255,"")</f>
        <v/>
      </c>
    </row>
    <row r="267" customFormat="false" ht="15" hidden="false" customHeight="true" outlineLevel="0" collapsed="false">
      <c r="F267" s="21" t="n">
        <f aca="false">IF(Data!$H256="usa",Data!$A256,"")</f>
        <v>20.5</v>
      </c>
      <c r="G267" s="1" t="str">
        <f aca="false">IF(Data!$H256="japan",Data!$A256,"")</f>
        <v/>
      </c>
    </row>
    <row r="268" customFormat="false" ht="15" hidden="false" customHeight="true" outlineLevel="0" collapsed="false">
      <c r="F268" s="21" t="n">
        <f aca="false">IF(Data!$H257="usa",Data!$A257,"")</f>
        <v>20.2</v>
      </c>
      <c r="G268" s="1" t="str">
        <f aca="false">IF(Data!$H257="japan",Data!$A257,"")</f>
        <v/>
      </c>
    </row>
    <row r="269" customFormat="false" ht="15" hidden="false" customHeight="true" outlineLevel="0" collapsed="false">
      <c r="F269" s="21" t="n">
        <f aca="false">IF(Data!$H258="usa",Data!$A258,"")</f>
        <v>25.1</v>
      </c>
      <c r="G269" s="1" t="str">
        <f aca="false">IF(Data!$H258="japan",Data!$A258,"")</f>
        <v/>
      </c>
    </row>
    <row r="270" customFormat="false" ht="15" hidden="false" customHeight="true" outlineLevel="0" collapsed="false">
      <c r="F270" s="21" t="n">
        <f aca="false">IF(Data!$H259="usa",Data!$A259,"")</f>
        <v>20.5</v>
      </c>
      <c r="G270" s="1" t="str">
        <f aca="false">IF(Data!$H259="japan",Data!$A259,"")</f>
        <v/>
      </c>
    </row>
    <row r="271" customFormat="false" ht="15" hidden="false" customHeight="true" outlineLevel="0" collapsed="false">
      <c r="F271" s="21" t="n">
        <f aca="false">IF(Data!$H260="usa",Data!$A260,"")</f>
        <v>19.4</v>
      </c>
      <c r="G271" s="1" t="str">
        <f aca="false">IF(Data!$H260="japan",Data!$A260,"")</f>
        <v/>
      </c>
    </row>
    <row r="272" customFormat="false" ht="15" hidden="false" customHeight="true" outlineLevel="0" collapsed="false">
      <c r="F272" s="21" t="n">
        <f aca="false">IF(Data!$H261="usa",Data!$A261,"")</f>
        <v>20.6</v>
      </c>
      <c r="G272" s="1" t="str">
        <f aca="false">IF(Data!$H261="japan",Data!$A261,"")</f>
        <v/>
      </c>
    </row>
    <row r="273" customFormat="false" ht="15" hidden="false" customHeight="true" outlineLevel="0" collapsed="false">
      <c r="F273" s="21" t="n">
        <f aca="false">IF(Data!$H262="usa",Data!$A262,"")</f>
        <v>20.8</v>
      </c>
      <c r="G273" s="1" t="str">
        <f aca="false">IF(Data!$H262="japan",Data!$A262,"")</f>
        <v/>
      </c>
    </row>
    <row r="274" customFormat="false" ht="15" hidden="false" customHeight="true" outlineLevel="0" collapsed="false">
      <c r="F274" s="21" t="n">
        <f aca="false">IF(Data!$H263="usa",Data!$A263,"")</f>
        <v>18.6</v>
      </c>
      <c r="G274" s="1" t="str">
        <f aca="false">IF(Data!$H263="japan",Data!$A263,"")</f>
        <v/>
      </c>
    </row>
    <row r="275" customFormat="false" ht="15" hidden="false" customHeight="true" outlineLevel="0" collapsed="false">
      <c r="F275" s="21" t="n">
        <f aca="false">IF(Data!$H264="usa",Data!$A264,"")</f>
        <v>18.1</v>
      </c>
      <c r="G275" s="1" t="str">
        <f aca="false">IF(Data!$H264="japan",Data!$A264,"")</f>
        <v/>
      </c>
    </row>
    <row r="276" customFormat="false" ht="15" hidden="false" customHeight="true" outlineLevel="0" collapsed="false">
      <c r="F276" s="21" t="n">
        <f aca="false">IF(Data!$H265="usa",Data!$A265,"")</f>
        <v>19.2</v>
      </c>
      <c r="G276" s="1" t="str">
        <f aca="false">IF(Data!$H265="japan",Data!$A265,"")</f>
        <v/>
      </c>
    </row>
    <row r="277" customFormat="false" ht="15" hidden="false" customHeight="true" outlineLevel="0" collapsed="false">
      <c r="F277" s="21" t="n">
        <f aca="false">IF(Data!$H266="usa",Data!$A266,"")</f>
        <v>17.7</v>
      </c>
      <c r="G277" s="1" t="str">
        <f aca="false">IF(Data!$H266="japan",Data!$A266,"")</f>
        <v/>
      </c>
    </row>
    <row r="278" customFormat="false" ht="15" hidden="false" customHeight="true" outlineLevel="0" collapsed="false">
      <c r="F278" s="21" t="n">
        <f aca="false">IF(Data!$H267="usa",Data!$A267,"")</f>
        <v>18.1</v>
      </c>
      <c r="G278" s="1" t="str">
        <f aca="false">IF(Data!$H267="japan",Data!$A267,"")</f>
        <v/>
      </c>
    </row>
    <row r="279" customFormat="false" ht="15" hidden="false" customHeight="true" outlineLevel="0" collapsed="false">
      <c r="F279" s="21" t="n">
        <f aca="false">IF(Data!$H268="usa",Data!$A268,"")</f>
        <v>17.5</v>
      </c>
      <c r="G279" s="1" t="str">
        <f aca="false">IF(Data!$H268="japan",Data!$A268,"")</f>
        <v/>
      </c>
    </row>
    <row r="280" customFormat="false" ht="15" hidden="false" customHeight="true" outlineLevel="0" collapsed="false">
      <c r="F280" s="21" t="n">
        <f aca="false">IF(Data!$H269="usa",Data!$A269,"")</f>
        <v>30</v>
      </c>
      <c r="G280" s="1" t="str">
        <f aca="false">IF(Data!$H269="japan",Data!$A269,"")</f>
        <v/>
      </c>
    </row>
    <row r="281" customFormat="false" ht="15" hidden="false" customHeight="true" outlineLevel="0" collapsed="false">
      <c r="F281" s="1" t="str">
        <f aca="false">IF(Data!$H270="usa",Data!$A270,"")</f>
        <v/>
      </c>
      <c r="G281" s="21" t="n">
        <f aca="false">IF(Data!$H270="japan",Data!$A270,"")</f>
        <v>27.5</v>
      </c>
    </row>
    <row r="282" customFormat="false" ht="15" hidden="false" customHeight="true" outlineLevel="0" collapsed="false">
      <c r="F282" s="1" t="str">
        <f aca="false">IF(Data!$H271="usa",Data!$A271,"")</f>
        <v/>
      </c>
      <c r="G282" s="21" t="n">
        <f aca="false">IF(Data!$H271="japan",Data!$A271,"")</f>
        <v>27.2</v>
      </c>
    </row>
    <row r="283" customFormat="false" ht="15" hidden="false" customHeight="true" outlineLevel="0" collapsed="false">
      <c r="F283" s="21" t="n">
        <f aca="false">IF(Data!$H272="usa",Data!$A272,"")</f>
        <v>30.9</v>
      </c>
      <c r="G283" s="1" t="str">
        <f aca="false">IF(Data!$H272="japan",Data!$A272,"")</f>
        <v/>
      </c>
    </row>
    <row r="284" customFormat="false" ht="15" hidden="false" customHeight="true" outlineLevel="0" collapsed="false">
      <c r="F284" s="1" t="str">
        <f aca="false">IF(Data!$H273="usa",Data!$A273,"")</f>
        <v/>
      </c>
      <c r="G284" s="21" t="n">
        <f aca="false">IF(Data!$H273="japan",Data!$A273,"")</f>
        <v>21.1</v>
      </c>
    </row>
    <row r="285" customFormat="false" ht="15" hidden="false" customHeight="true" outlineLevel="0" collapsed="false">
      <c r="F285" s="21" t="n">
        <f aca="false">IF(Data!$H274="usa",Data!$A274,"")</f>
        <v>23.2</v>
      </c>
      <c r="G285" s="1" t="str">
        <f aca="false">IF(Data!$H274="japan",Data!$A274,"")</f>
        <v/>
      </c>
    </row>
    <row r="286" customFormat="false" ht="15" hidden="false" customHeight="true" outlineLevel="0" collapsed="false">
      <c r="F286" s="21" t="n">
        <f aca="false">IF(Data!$H275="usa",Data!$A275,"")</f>
        <v>23.8</v>
      </c>
      <c r="G286" s="1" t="str">
        <f aca="false">IF(Data!$H275="japan",Data!$A275,"")</f>
        <v/>
      </c>
    </row>
    <row r="287" customFormat="false" ht="15" hidden="false" customHeight="true" outlineLevel="0" collapsed="false">
      <c r="F287" s="1" t="str">
        <f aca="false">IF(Data!$H276="usa",Data!$A276,"")</f>
        <v/>
      </c>
      <c r="G287" s="21" t="n">
        <f aca="false">IF(Data!$H276="japan",Data!$A276,"")</f>
        <v>23.9</v>
      </c>
    </row>
    <row r="288" customFormat="false" ht="15" hidden="false" customHeight="true" outlineLevel="0" collapsed="false">
      <c r="F288" s="1" t="str">
        <f aca="false">IF(Data!$H277="usa",Data!$A277,"")</f>
        <v/>
      </c>
      <c r="G288" s="1" t="str">
        <f aca="false">IF(Data!$H277="japan",Data!$A277,"")</f>
        <v/>
      </c>
    </row>
    <row r="289" customFormat="false" ht="15" hidden="false" customHeight="true" outlineLevel="0" collapsed="false">
      <c r="F289" s="1" t="str">
        <f aca="false">IF(Data!$H278="usa",Data!$A278,"")</f>
        <v/>
      </c>
      <c r="G289" s="1" t="str">
        <f aca="false">IF(Data!$H278="japan",Data!$A278,"")</f>
        <v/>
      </c>
    </row>
    <row r="290" customFormat="false" ht="15" hidden="false" customHeight="true" outlineLevel="0" collapsed="false">
      <c r="F290" s="1" t="str">
        <f aca="false">IF(Data!$H279="usa",Data!$A279,"")</f>
        <v/>
      </c>
      <c r="G290" s="1" t="str">
        <f aca="false">IF(Data!$H279="japan",Data!$A279,"")</f>
        <v/>
      </c>
    </row>
    <row r="291" customFormat="false" ht="15" hidden="false" customHeight="true" outlineLevel="0" collapsed="false">
      <c r="F291" s="1" t="str">
        <f aca="false">IF(Data!$H280="usa",Data!$A280,"")</f>
        <v/>
      </c>
      <c r="G291" s="1" t="str">
        <f aca="false">IF(Data!$H280="japan",Data!$A280,"")</f>
        <v/>
      </c>
    </row>
    <row r="292" customFormat="false" ht="15" hidden="false" customHeight="true" outlineLevel="0" collapsed="false">
      <c r="F292" s="1" t="str">
        <f aca="false">IF(Data!$H281="usa",Data!$A281,"")</f>
        <v/>
      </c>
      <c r="G292" s="1" t="str">
        <f aca="false">IF(Data!$H281="japan",Data!$A281,"")</f>
        <v/>
      </c>
    </row>
    <row r="293" customFormat="false" ht="15" hidden="false" customHeight="true" outlineLevel="0" collapsed="false">
      <c r="F293" s="1" t="str">
        <f aca="false">IF(Data!$H282="usa",Data!$A282,"")</f>
        <v/>
      </c>
      <c r="G293" s="21" t="n">
        <f aca="false">IF(Data!$H282="japan",Data!$A282,"")</f>
        <v>29.5</v>
      </c>
    </row>
    <row r="294" customFormat="false" ht="15" hidden="false" customHeight="true" outlineLevel="0" collapsed="false">
      <c r="F294" s="21" t="n">
        <f aca="false">IF(Data!$H283="usa",Data!$A283,"")</f>
        <v>21.5</v>
      </c>
      <c r="G294" s="1" t="str">
        <f aca="false">IF(Data!$H283="japan",Data!$A283,"")</f>
        <v/>
      </c>
    </row>
    <row r="295" customFormat="false" ht="15" hidden="false" customHeight="true" outlineLevel="0" collapsed="false">
      <c r="F295" s="21" t="n">
        <f aca="false">IF(Data!$H284="usa",Data!$A284,"")</f>
        <v>19.8</v>
      </c>
      <c r="G295" s="1" t="str">
        <f aca="false">IF(Data!$H284="japan",Data!$A284,"")</f>
        <v/>
      </c>
    </row>
    <row r="296" customFormat="false" ht="15" hidden="false" customHeight="true" outlineLevel="0" collapsed="false">
      <c r="F296" s="21" t="n">
        <f aca="false">IF(Data!$H285="usa",Data!$A285,"")</f>
        <v>22.3</v>
      </c>
      <c r="G296" s="1" t="str">
        <f aca="false">IF(Data!$H285="japan",Data!$A285,"")</f>
        <v/>
      </c>
    </row>
    <row r="297" customFormat="false" ht="15" hidden="false" customHeight="true" outlineLevel="0" collapsed="false">
      <c r="F297" s="21" t="n">
        <f aca="false">IF(Data!$H286="usa",Data!$A286,"")</f>
        <v>20.2</v>
      </c>
      <c r="G297" s="1" t="str">
        <f aca="false">IF(Data!$H286="japan",Data!$A286,"")</f>
        <v/>
      </c>
    </row>
    <row r="298" customFormat="false" ht="15" hidden="false" customHeight="true" outlineLevel="0" collapsed="false">
      <c r="F298" s="21" t="n">
        <f aca="false">IF(Data!$H287="usa",Data!$A287,"")</f>
        <v>20.6</v>
      </c>
      <c r="G298" s="1" t="str">
        <f aca="false">IF(Data!$H287="japan",Data!$A287,"")</f>
        <v/>
      </c>
    </row>
    <row r="299" customFormat="false" ht="15" hidden="false" customHeight="true" outlineLevel="0" collapsed="false">
      <c r="F299" s="21" t="n">
        <f aca="false">IF(Data!$H288="usa",Data!$A288,"")</f>
        <v>17</v>
      </c>
      <c r="G299" s="1" t="str">
        <f aca="false">IF(Data!$H288="japan",Data!$A288,"")</f>
        <v/>
      </c>
    </row>
    <row r="300" customFormat="false" ht="15" hidden="false" customHeight="true" outlineLevel="0" collapsed="false">
      <c r="F300" s="21" t="n">
        <f aca="false">IF(Data!$H289="usa",Data!$A289,"")</f>
        <v>17.6</v>
      </c>
      <c r="G300" s="1" t="str">
        <f aca="false">IF(Data!$H289="japan",Data!$A289,"")</f>
        <v/>
      </c>
    </row>
    <row r="301" customFormat="false" ht="15" hidden="false" customHeight="true" outlineLevel="0" collapsed="false">
      <c r="F301" s="21" t="n">
        <f aca="false">IF(Data!$H290="usa",Data!$A290,"")</f>
        <v>16.5</v>
      </c>
      <c r="G301" s="1" t="str">
        <f aca="false">IF(Data!$H290="japan",Data!$A290,"")</f>
        <v/>
      </c>
    </row>
    <row r="302" customFormat="false" ht="15" hidden="false" customHeight="true" outlineLevel="0" collapsed="false">
      <c r="F302" s="21" t="n">
        <f aca="false">IF(Data!$H291="usa",Data!$A291,"")</f>
        <v>18.2</v>
      </c>
      <c r="G302" s="1" t="str">
        <f aca="false">IF(Data!$H291="japan",Data!$A291,"")</f>
        <v/>
      </c>
    </row>
    <row r="303" customFormat="false" ht="15" hidden="false" customHeight="true" outlineLevel="0" collapsed="false">
      <c r="F303" s="21" t="n">
        <f aca="false">IF(Data!$H292="usa",Data!$A292,"")</f>
        <v>16.9</v>
      </c>
      <c r="G303" s="1" t="str">
        <f aca="false">IF(Data!$H292="japan",Data!$A292,"")</f>
        <v/>
      </c>
    </row>
    <row r="304" customFormat="false" ht="15" hidden="false" customHeight="true" outlineLevel="0" collapsed="false">
      <c r="F304" s="21" t="n">
        <f aca="false">IF(Data!$H293="usa",Data!$A293,"")</f>
        <v>15.5</v>
      </c>
      <c r="G304" s="1" t="str">
        <f aca="false">IF(Data!$H293="japan",Data!$A293,"")</f>
        <v/>
      </c>
    </row>
    <row r="305" customFormat="false" ht="15" hidden="false" customHeight="true" outlineLevel="0" collapsed="false">
      <c r="F305" s="21" t="n">
        <f aca="false">IF(Data!$H294="usa",Data!$A294,"")</f>
        <v>19.2</v>
      </c>
      <c r="G305" s="1" t="str">
        <f aca="false">IF(Data!$H294="japan",Data!$A294,"")</f>
        <v/>
      </c>
    </row>
    <row r="306" customFormat="false" ht="15" hidden="false" customHeight="true" outlineLevel="0" collapsed="false">
      <c r="F306" s="21" t="n">
        <f aca="false">IF(Data!$H295="usa",Data!$A295,"")</f>
        <v>18.5</v>
      </c>
      <c r="G306" s="1" t="str">
        <f aca="false">IF(Data!$H295="japan",Data!$A295,"")</f>
        <v/>
      </c>
    </row>
    <row r="307" customFormat="false" ht="15" hidden="false" customHeight="true" outlineLevel="0" collapsed="false">
      <c r="F307" s="1" t="str">
        <f aca="false">IF(Data!$H296="usa",Data!$A296,"")</f>
        <v/>
      </c>
      <c r="G307" s="1" t="str">
        <f aca="false">IF(Data!$H296="japan",Data!$A296,"")</f>
        <v/>
      </c>
    </row>
    <row r="308" customFormat="false" ht="15" hidden="false" customHeight="true" outlineLevel="0" collapsed="false">
      <c r="F308" s="1" t="str">
        <f aca="false">IF(Data!$H297="usa",Data!$A297,"")</f>
        <v/>
      </c>
      <c r="G308" s="21" t="n">
        <f aca="false">IF(Data!$H297="japan",Data!$A297,"")</f>
        <v>34.1</v>
      </c>
    </row>
    <row r="309" customFormat="false" ht="15" hidden="false" customHeight="true" outlineLevel="0" collapsed="false">
      <c r="F309" s="21" t="n">
        <f aca="false">IF(Data!$H298="usa",Data!$A298,"")</f>
        <v>35.7</v>
      </c>
      <c r="G309" s="1" t="str">
        <f aca="false">IF(Data!$H298="japan",Data!$A298,"")</f>
        <v/>
      </c>
    </row>
    <row r="310" customFormat="false" ht="15" hidden="false" customHeight="true" outlineLevel="0" collapsed="false">
      <c r="F310" s="21" t="n">
        <f aca="false">IF(Data!$H299="usa",Data!$A299,"")</f>
        <v>27.4</v>
      </c>
      <c r="G310" s="1" t="str">
        <f aca="false">IF(Data!$H299="japan",Data!$A299,"")</f>
        <v/>
      </c>
    </row>
    <row r="311" customFormat="false" ht="15" hidden="false" customHeight="true" outlineLevel="0" collapsed="false">
      <c r="F311" s="1" t="str">
        <f aca="false">IF(Data!$H300="usa",Data!$A300,"")</f>
        <v/>
      </c>
      <c r="G311" s="1" t="str">
        <f aca="false">IF(Data!$H300="japan",Data!$A300,"")</f>
        <v/>
      </c>
    </row>
    <row r="312" customFormat="false" ht="15" hidden="false" customHeight="true" outlineLevel="0" collapsed="false">
      <c r="F312" s="21" t="n">
        <f aca="false">IF(Data!$H301="usa",Data!$A301,"")</f>
        <v>23</v>
      </c>
      <c r="G312" s="1" t="str">
        <f aca="false">IF(Data!$H301="japan",Data!$A301,"")</f>
        <v/>
      </c>
    </row>
    <row r="313" customFormat="false" ht="15" hidden="false" customHeight="true" outlineLevel="0" collapsed="false">
      <c r="F313" s="1" t="str">
        <f aca="false">IF(Data!$H302="usa",Data!$A302,"")</f>
        <v/>
      </c>
      <c r="G313" s="1" t="str">
        <f aca="false">IF(Data!$H302="japan",Data!$A302,"")</f>
        <v/>
      </c>
    </row>
    <row r="314" customFormat="false" ht="15" hidden="false" customHeight="true" outlineLevel="0" collapsed="false">
      <c r="F314" s="21" t="n">
        <f aca="false">IF(Data!$H303="usa",Data!$A303,"")</f>
        <v>23.9</v>
      </c>
      <c r="G314" s="1" t="str">
        <f aca="false">IF(Data!$H303="japan",Data!$A303,"")</f>
        <v/>
      </c>
    </row>
    <row r="315" customFormat="false" ht="15" hidden="false" customHeight="true" outlineLevel="0" collapsed="false">
      <c r="F315" s="21" t="n">
        <f aca="false">IF(Data!$H304="usa",Data!$A304,"")</f>
        <v>34.2</v>
      </c>
      <c r="G315" s="1" t="str">
        <f aca="false">IF(Data!$H304="japan",Data!$A304,"")</f>
        <v/>
      </c>
    </row>
    <row r="316" customFormat="false" ht="15" hidden="false" customHeight="true" outlineLevel="0" collapsed="false">
      <c r="F316" s="21" t="n">
        <f aca="false">IF(Data!$H305="usa",Data!$A305,"")</f>
        <v>34.5</v>
      </c>
      <c r="G316" s="1" t="str">
        <f aca="false">IF(Data!$H305="japan",Data!$A305,"")</f>
        <v/>
      </c>
    </row>
    <row r="317" customFormat="false" ht="15" hidden="false" customHeight="true" outlineLevel="0" collapsed="false">
      <c r="F317" s="1" t="str">
        <f aca="false">IF(Data!$H306="usa",Data!$A306,"")</f>
        <v/>
      </c>
      <c r="G317" s="21" t="n">
        <f aca="false">IF(Data!$H306="japan",Data!$A306,"")</f>
        <v>31.8</v>
      </c>
    </row>
    <row r="318" customFormat="false" ht="15" hidden="false" customHeight="true" outlineLevel="0" collapsed="false">
      <c r="F318" s="1" t="str">
        <f aca="false">IF(Data!$H307="usa",Data!$A307,"")</f>
        <v/>
      </c>
      <c r="G318" s="1" t="str">
        <f aca="false">IF(Data!$H307="japan",Data!$A307,"")</f>
        <v/>
      </c>
    </row>
    <row r="319" customFormat="false" ht="15" hidden="false" customHeight="true" outlineLevel="0" collapsed="false">
      <c r="F319" s="21" t="n">
        <f aca="false">IF(Data!$H308="usa",Data!$A308,"")</f>
        <v>28.4</v>
      </c>
      <c r="G319" s="1" t="str">
        <f aca="false">IF(Data!$H308="japan",Data!$A308,"")</f>
        <v/>
      </c>
    </row>
    <row r="320" customFormat="false" ht="15" hidden="false" customHeight="true" outlineLevel="0" collapsed="false">
      <c r="F320" s="21" t="n">
        <f aca="false">IF(Data!$H309="usa",Data!$A309,"")</f>
        <v>28.8</v>
      </c>
      <c r="G320" s="1" t="str">
        <f aca="false">IF(Data!$H309="japan",Data!$A309,"")</f>
        <v/>
      </c>
    </row>
    <row r="321" customFormat="false" ht="15" hidden="false" customHeight="true" outlineLevel="0" collapsed="false">
      <c r="F321" s="21" t="n">
        <f aca="false">IF(Data!$H310="usa",Data!$A310,"")</f>
        <v>26.8</v>
      </c>
      <c r="G321" s="1" t="str">
        <f aca="false">IF(Data!$H310="japan",Data!$A310,"")</f>
        <v/>
      </c>
    </row>
    <row r="322" customFormat="false" ht="15" hidden="false" customHeight="true" outlineLevel="0" collapsed="false">
      <c r="F322" s="21" t="n">
        <f aca="false">IF(Data!$H311="usa",Data!$A311,"")</f>
        <v>33.5</v>
      </c>
      <c r="G322" s="1" t="str">
        <f aca="false">IF(Data!$H311="japan",Data!$A311,"")</f>
        <v/>
      </c>
    </row>
    <row r="323" customFormat="false" ht="15" hidden="false" customHeight="true" outlineLevel="0" collapsed="false">
      <c r="F323" s="1" t="str">
        <f aca="false">IF(Data!$H312="usa",Data!$A312,"")</f>
        <v/>
      </c>
      <c r="G323" s="1" t="str">
        <f aca="false">IF(Data!$H312="japan",Data!$A312,"")</f>
        <v/>
      </c>
    </row>
    <row r="324" customFormat="false" ht="15" hidden="false" customHeight="true" outlineLevel="0" collapsed="false">
      <c r="F324" s="1" t="str">
        <f aca="false">IF(Data!$H313="usa",Data!$A313,"")</f>
        <v/>
      </c>
      <c r="G324" s="21" t="n">
        <f aca="false">IF(Data!$H313="japan",Data!$A313,"")</f>
        <v>38.1</v>
      </c>
    </row>
    <row r="325" customFormat="false" ht="15" hidden="false" customHeight="true" outlineLevel="0" collapsed="false">
      <c r="F325" s="21" t="n">
        <f aca="false">IF(Data!$H314="usa",Data!$A314,"")</f>
        <v>32.1</v>
      </c>
      <c r="G325" s="1" t="str">
        <f aca="false">IF(Data!$H314="japan",Data!$A314,"")</f>
        <v/>
      </c>
    </row>
    <row r="326" customFormat="false" ht="15" hidden="false" customHeight="true" outlineLevel="0" collapsed="false">
      <c r="F326" s="1" t="str">
        <f aca="false">IF(Data!$H315="usa",Data!$A315,"")</f>
        <v/>
      </c>
      <c r="G326" s="21" t="n">
        <f aca="false">IF(Data!$H315="japan",Data!$A315,"")</f>
        <v>37.2</v>
      </c>
    </row>
    <row r="327" customFormat="false" ht="15" hidden="false" customHeight="true" outlineLevel="0" collapsed="false">
      <c r="F327" s="21" t="n">
        <f aca="false">IF(Data!$H316="usa",Data!$A316,"")</f>
        <v>28</v>
      </c>
      <c r="G327" s="1" t="str">
        <f aca="false">IF(Data!$H316="japan",Data!$A316,"")</f>
        <v/>
      </c>
    </row>
    <row r="328" customFormat="false" ht="15" hidden="false" customHeight="true" outlineLevel="0" collapsed="false">
      <c r="F328" s="21" t="n">
        <f aca="false">IF(Data!$H317="usa",Data!$A317,"")</f>
        <v>26.4</v>
      </c>
      <c r="G328" s="1" t="str">
        <f aca="false">IF(Data!$H317="japan",Data!$A317,"")</f>
        <v/>
      </c>
    </row>
    <row r="329" customFormat="false" ht="15" hidden="false" customHeight="true" outlineLevel="0" collapsed="false">
      <c r="F329" s="21" t="n">
        <f aca="false">IF(Data!$H318="usa",Data!$A318,"")</f>
        <v>24.3</v>
      </c>
      <c r="G329" s="1" t="str">
        <f aca="false">IF(Data!$H318="japan",Data!$A318,"")</f>
        <v/>
      </c>
    </row>
    <row r="330" customFormat="false" ht="15" hidden="false" customHeight="true" outlineLevel="0" collapsed="false">
      <c r="F330" s="21" t="n">
        <f aca="false">IF(Data!$H319="usa",Data!$A319,"")</f>
        <v>19.1</v>
      </c>
      <c r="G330" s="1" t="str">
        <f aca="false">IF(Data!$H319="japan",Data!$A319,"")</f>
        <v/>
      </c>
    </row>
    <row r="331" customFormat="false" ht="15" hidden="false" customHeight="true" outlineLevel="0" collapsed="false">
      <c r="F331" s="1" t="str">
        <f aca="false">IF(Data!$H320="usa",Data!$A320,"")</f>
        <v/>
      </c>
      <c r="G331" s="1" t="str">
        <f aca="false">IF(Data!$H320="japan",Data!$A320,"")</f>
        <v/>
      </c>
    </row>
    <row r="332" customFormat="false" ht="15" hidden="false" customHeight="true" outlineLevel="0" collapsed="false">
      <c r="F332" s="1" t="str">
        <f aca="false">IF(Data!$H321="usa",Data!$A321,"")</f>
        <v/>
      </c>
      <c r="G332" s="21" t="n">
        <f aca="false">IF(Data!$H321="japan",Data!$A321,"")</f>
        <v>29.8</v>
      </c>
    </row>
    <row r="333" customFormat="false" ht="15" hidden="false" customHeight="true" outlineLevel="0" collapsed="false">
      <c r="F333" s="1" t="str">
        <f aca="false">IF(Data!$H322="usa",Data!$A322,"")</f>
        <v/>
      </c>
      <c r="G333" s="21" t="n">
        <f aca="false">IF(Data!$H322="japan",Data!$A322,"")</f>
        <v>31.3</v>
      </c>
    </row>
    <row r="334" customFormat="false" ht="15" hidden="false" customHeight="true" outlineLevel="0" collapsed="false">
      <c r="F334" s="1" t="str">
        <f aca="false">IF(Data!$H323="usa",Data!$A323,"")</f>
        <v/>
      </c>
      <c r="G334" s="21" t="n">
        <f aca="false">IF(Data!$H323="japan",Data!$A323,"")</f>
        <v>37</v>
      </c>
    </row>
    <row r="335" customFormat="false" ht="15" hidden="false" customHeight="true" outlineLevel="0" collapsed="false">
      <c r="F335" s="1" t="str">
        <f aca="false">IF(Data!$H324="usa",Data!$A324,"")</f>
        <v/>
      </c>
      <c r="G335" s="21" t="n">
        <f aca="false">IF(Data!$H324="japan",Data!$A324,"")</f>
        <v>32.2</v>
      </c>
    </row>
    <row r="336" customFormat="false" ht="15" hidden="false" customHeight="true" outlineLevel="0" collapsed="false">
      <c r="F336" s="1" t="str">
        <f aca="false">IF(Data!$H325="usa",Data!$A325,"")</f>
        <v/>
      </c>
      <c r="G336" s="21" t="n">
        <f aca="false">IF(Data!$H325="japan",Data!$A325,"")</f>
        <v>46.6</v>
      </c>
    </row>
    <row r="337" customFormat="false" ht="15" hidden="false" customHeight="true" outlineLevel="0" collapsed="false">
      <c r="F337" s="21" t="n">
        <f aca="false">IF(Data!$H326="usa",Data!$A326,"")</f>
        <v>27.9</v>
      </c>
      <c r="G337" s="1" t="str">
        <f aca="false">IF(Data!$H326="japan",Data!$A326,"")</f>
        <v/>
      </c>
    </row>
    <row r="338" customFormat="false" ht="15" hidden="false" customHeight="true" outlineLevel="0" collapsed="false">
      <c r="F338" s="1" t="str">
        <f aca="false">IF(Data!$H327="usa",Data!$A327,"")</f>
        <v/>
      </c>
      <c r="G338" s="21" t="n">
        <f aca="false">IF(Data!$H327="japan",Data!$A327,"")</f>
        <v>40.8</v>
      </c>
    </row>
    <row r="339" customFormat="false" ht="15" hidden="false" customHeight="true" outlineLevel="0" collapsed="false">
      <c r="F339" s="1" t="str">
        <f aca="false">IF(Data!$H328="usa",Data!$A328,"")</f>
        <v/>
      </c>
      <c r="G339" s="1" t="str">
        <f aca="false">IF(Data!$H328="japan",Data!$A328,"")</f>
        <v/>
      </c>
    </row>
    <row r="340" customFormat="false" ht="15" hidden="false" customHeight="true" outlineLevel="0" collapsed="false">
      <c r="F340" s="1" t="str">
        <f aca="false">IF(Data!$H329="usa",Data!$A329,"")</f>
        <v/>
      </c>
      <c r="G340" s="1" t="str">
        <f aca="false">IF(Data!$H329="japan",Data!$A329,"")</f>
        <v/>
      </c>
    </row>
    <row r="341" customFormat="false" ht="15" hidden="false" customHeight="true" outlineLevel="0" collapsed="false">
      <c r="F341" s="1" t="str">
        <f aca="false">IF(Data!$H330="usa",Data!$A330,"")</f>
        <v/>
      </c>
      <c r="G341" s="1" t="str">
        <f aca="false">IF(Data!$H330="japan",Data!$A330,"")</f>
        <v/>
      </c>
    </row>
    <row r="342" customFormat="false" ht="15" hidden="false" customHeight="true" outlineLevel="0" collapsed="false">
      <c r="F342" s="1" t="str">
        <f aca="false">IF(Data!$H331="usa",Data!$A331,"")</f>
        <v/>
      </c>
      <c r="G342" s="1" t="str">
        <f aca="false">IF(Data!$H331="japan",Data!$A331,"")</f>
        <v/>
      </c>
    </row>
    <row r="343" customFormat="false" ht="15" hidden="false" customHeight="true" outlineLevel="0" collapsed="false">
      <c r="F343" s="1" t="str">
        <f aca="false">IF(Data!$H332="usa",Data!$A332,"")</f>
        <v/>
      </c>
      <c r="G343" s="21" t="n">
        <f aca="false">IF(Data!$H332="japan",Data!$A332,"")</f>
        <v>44.6</v>
      </c>
    </row>
    <row r="344" customFormat="false" ht="15" hidden="false" customHeight="true" outlineLevel="0" collapsed="false">
      <c r="F344" s="1" t="str">
        <f aca="false">IF(Data!$H333="usa",Data!$A333,"")</f>
        <v/>
      </c>
      <c r="G344" s="1" t="str">
        <f aca="false">IF(Data!$H333="japan",Data!$A333,"")</f>
        <v/>
      </c>
    </row>
    <row r="345" customFormat="false" ht="15" hidden="false" customHeight="true" outlineLevel="0" collapsed="false">
      <c r="F345" s="1" t="str">
        <f aca="false">IF(Data!$H334="usa",Data!$A334,"")</f>
        <v/>
      </c>
      <c r="G345" s="21" t="n">
        <f aca="false">IF(Data!$H334="japan",Data!$A334,"")</f>
        <v>33.8</v>
      </c>
    </row>
    <row r="346" customFormat="false" ht="15" hidden="false" customHeight="true" outlineLevel="0" collapsed="false">
      <c r="F346" s="1" t="str">
        <f aca="false">IF(Data!$H335="usa",Data!$A335,"")</f>
        <v/>
      </c>
      <c r="G346" s="1" t="str">
        <f aca="false">IF(Data!$H335="japan",Data!$A335,"")</f>
        <v/>
      </c>
    </row>
    <row r="347" customFormat="false" ht="15" hidden="false" customHeight="true" outlineLevel="0" collapsed="false">
      <c r="F347" s="1" t="str">
        <f aca="false">IF(Data!$H336="usa",Data!$A336,"")</f>
        <v/>
      </c>
      <c r="G347" s="21" t="n">
        <f aca="false">IF(Data!$H336="japan",Data!$A336,"")</f>
        <v>32.7</v>
      </c>
    </row>
    <row r="348" customFormat="false" ht="15" hidden="false" customHeight="true" outlineLevel="0" collapsed="false">
      <c r="F348" s="1" t="str">
        <f aca="false">IF(Data!$H337="usa",Data!$A337,"")</f>
        <v/>
      </c>
      <c r="G348" s="21" t="n">
        <f aca="false">IF(Data!$H337="japan",Data!$A337,"")</f>
        <v>23.7</v>
      </c>
    </row>
    <row r="349" customFormat="false" ht="15" hidden="false" customHeight="true" outlineLevel="0" collapsed="false">
      <c r="F349" s="1" t="str">
        <f aca="false">IF(Data!$H338="usa",Data!$A338,"")</f>
        <v/>
      </c>
      <c r="G349" s="1" t="str">
        <f aca="false">IF(Data!$H338="japan",Data!$A338,"")</f>
        <v/>
      </c>
    </row>
    <row r="350" customFormat="false" ht="15" hidden="false" customHeight="true" outlineLevel="0" collapsed="false">
      <c r="F350" s="21" t="n">
        <f aca="false">IF(Data!$H339="usa",Data!$A339,"")</f>
        <v>23.6</v>
      </c>
      <c r="G350" s="1" t="str">
        <f aca="false">IF(Data!$H339="japan",Data!$A339,"")</f>
        <v/>
      </c>
    </row>
    <row r="351" customFormat="false" ht="15" hidden="false" customHeight="true" outlineLevel="0" collapsed="false">
      <c r="F351" s="1" t="str">
        <f aca="false">IF(Data!$H340="usa",Data!$A340,"")</f>
        <v/>
      </c>
      <c r="G351" s="21" t="n">
        <f aca="false">IF(Data!$H340="japan",Data!$A340,"")</f>
        <v>32.4</v>
      </c>
    </row>
    <row r="352" customFormat="false" ht="15" hidden="false" customHeight="true" outlineLevel="0" collapsed="false">
      <c r="F352" s="21" t="n">
        <f aca="false">IF(Data!$H341="usa",Data!$A341,"")</f>
        <v>27.2</v>
      </c>
      <c r="G352" s="1" t="str">
        <f aca="false">IF(Data!$H341="japan",Data!$A341,"")</f>
        <v/>
      </c>
    </row>
    <row r="353" customFormat="false" ht="15" hidden="false" customHeight="true" outlineLevel="0" collapsed="false">
      <c r="F353" s="21" t="n">
        <f aca="false">IF(Data!$H342="usa",Data!$A342,"")</f>
        <v>26.6</v>
      </c>
      <c r="G353" s="1" t="str">
        <f aca="false">IF(Data!$H342="japan",Data!$A342,"")</f>
        <v/>
      </c>
    </row>
    <row r="354" customFormat="false" ht="15" hidden="false" customHeight="true" outlineLevel="0" collapsed="false">
      <c r="F354" s="21" t="n">
        <f aca="false">IF(Data!$H343="usa",Data!$A343,"")</f>
        <v>25.8</v>
      </c>
      <c r="G354" s="1" t="str">
        <f aca="false">IF(Data!$H343="japan",Data!$A343,"")</f>
        <v/>
      </c>
    </row>
    <row r="355" customFormat="false" ht="15" hidden="false" customHeight="true" outlineLevel="0" collapsed="false">
      <c r="F355" s="21" t="n">
        <f aca="false">IF(Data!$H344="usa",Data!$A344,"")</f>
        <v>23.5</v>
      </c>
      <c r="G355" s="1" t="str">
        <f aca="false">IF(Data!$H344="japan",Data!$A344,"")</f>
        <v/>
      </c>
    </row>
    <row r="356" customFormat="false" ht="15" hidden="false" customHeight="true" outlineLevel="0" collapsed="false">
      <c r="F356" s="21" t="n">
        <f aca="false">IF(Data!$H345="usa",Data!$A345,"")</f>
        <v>30</v>
      </c>
      <c r="G356" s="1" t="str">
        <f aca="false">IF(Data!$H345="japan",Data!$A345,"")</f>
        <v/>
      </c>
    </row>
    <row r="357" customFormat="false" ht="15" hidden="false" customHeight="true" outlineLevel="0" collapsed="false">
      <c r="F357" s="1" t="str">
        <f aca="false">IF(Data!$H346="usa",Data!$A346,"")</f>
        <v/>
      </c>
      <c r="G357" s="21" t="n">
        <f aca="false">IF(Data!$H346="japan",Data!$A346,"")</f>
        <v>39.1</v>
      </c>
    </row>
    <row r="358" customFormat="false" ht="15" hidden="false" customHeight="true" outlineLevel="0" collapsed="false">
      <c r="F358" s="21" t="n">
        <f aca="false">IF(Data!$H347="usa",Data!$A347,"")</f>
        <v>39</v>
      </c>
      <c r="G358" s="1" t="str">
        <f aca="false">IF(Data!$H347="japan",Data!$A347,"")</f>
        <v/>
      </c>
    </row>
    <row r="359" customFormat="false" ht="15" hidden="false" customHeight="true" outlineLevel="0" collapsed="false">
      <c r="F359" s="1" t="str">
        <f aca="false">IF(Data!$H348="usa",Data!$A348,"")</f>
        <v/>
      </c>
      <c r="G359" s="21" t="n">
        <f aca="false">IF(Data!$H348="japan",Data!$A348,"")</f>
        <v>35.1</v>
      </c>
    </row>
    <row r="360" customFormat="false" ht="15" hidden="false" customHeight="true" outlineLevel="0" collapsed="false">
      <c r="F360" s="1" t="str">
        <f aca="false">IF(Data!$H349="usa",Data!$A349,"")</f>
        <v/>
      </c>
      <c r="G360" s="21" t="n">
        <f aca="false">IF(Data!$H349="japan",Data!$A349,"")</f>
        <v>32.3</v>
      </c>
    </row>
    <row r="361" customFormat="false" ht="15" hidden="false" customHeight="true" outlineLevel="0" collapsed="false">
      <c r="F361" s="1" t="str">
        <f aca="false">IF(Data!$H350="usa",Data!$A350,"")</f>
        <v/>
      </c>
      <c r="G361" s="21" t="n">
        <f aca="false">IF(Data!$H350="japan",Data!$A350,"")</f>
        <v>37</v>
      </c>
    </row>
    <row r="362" customFormat="false" ht="15" hidden="false" customHeight="true" outlineLevel="0" collapsed="false">
      <c r="F362" s="1" t="str">
        <f aca="false">IF(Data!$H351="usa",Data!$A351,"")</f>
        <v/>
      </c>
      <c r="G362" s="21" t="n">
        <f aca="false">IF(Data!$H351="japan",Data!$A351,"")</f>
        <v>37.7</v>
      </c>
    </row>
    <row r="363" customFormat="false" ht="15" hidden="false" customHeight="true" outlineLevel="0" collapsed="false">
      <c r="F363" s="1" t="str">
        <f aca="false">IF(Data!$H352="usa",Data!$A352,"")</f>
        <v/>
      </c>
      <c r="G363" s="21" t="n">
        <f aca="false">IF(Data!$H352="japan",Data!$A352,"")</f>
        <v>34.1</v>
      </c>
    </row>
    <row r="364" customFormat="false" ht="15" hidden="false" customHeight="true" outlineLevel="0" collapsed="false">
      <c r="F364" s="21" t="n">
        <f aca="false">IF(Data!$H353="usa",Data!$A353,"")</f>
        <v>34.7</v>
      </c>
      <c r="G364" s="1" t="str">
        <f aca="false">IF(Data!$H353="japan",Data!$A353,"")</f>
        <v/>
      </c>
    </row>
    <row r="365" customFormat="false" ht="15" hidden="false" customHeight="true" outlineLevel="0" collapsed="false">
      <c r="F365" s="21" t="n">
        <f aca="false">IF(Data!$H354="usa",Data!$A354,"")</f>
        <v>34.4</v>
      </c>
      <c r="G365" s="1" t="str">
        <f aca="false">IF(Data!$H354="japan",Data!$A354,"")</f>
        <v/>
      </c>
    </row>
    <row r="366" customFormat="false" ht="15" hidden="false" customHeight="true" outlineLevel="0" collapsed="false">
      <c r="F366" s="21" t="n">
        <f aca="false">IF(Data!$H355="usa",Data!$A355,"")</f>
        <v>29.9</v>
      </c>
      <c r="G366" s="1" t="str">
        <f aca="false">IF(Data!$H355="japan",Data!$A355,"")</f>
        <v/>
      </c>
    </row>
    <row r="367" customFormat="false" ht="15" hidden="false" customHeight="true" outlineLevel="0" collapsed="false">
      <c r="F367" s="1" t="str">
        <f aca="false">IF(Data!$H356="usa",Data!$A356,"")</f>
        <v/>
      </c>
      <c r="G367" s="1" t="str">
        <f aca="false">IF(Data!$H356="japan",Data!$A356,"")</f>
        <v/>
      </c>
    </row>
    <row r="368" customFormat="false" ht="15" hidden="false" customHeight="true" outlineLevel="0" collapsed="false">
      <c r="F368" s="1" t="str">
        <f aca="false">IF(Data!$H357="usa",Data!$A357,"")</f>
        <v/>
      </c>
      <c r="G368" s="1" t="str">
        <f aca="false">IF(Data!$H357="japan",Data!$A357,"")</f>
        <v/>
      </c>
    </row>
    <row r="369" customFormat="false" ht="15" hidden="false" customHeight="true" outlineLevel="0" collapsed="false">
      <c r="F369" s="1" t="str">
        <f aca="false">IF(Data!$H358="usa",Data!$A358,"")</f>
        <v/>
      </c>
      <c r="G369" s="21" t="n">
        <f aca="false">IF(Data!$H358="japan",Data!$A358,"")</f>
        <v>33.7</v>
      </c>
    </row>
    <row r="370" customFormat="false" ht="15" hidden="false" customHeight="true" outlineLevel="0" collapsed="false">
      <c r="F370" s="1" t="str">
        <f aca="false">IF(Data!$H359="usa",Data!$A359,"")</f>
        <v/>
      </c>
      <c r="G370" s="21" t="n">
        <f aca="false">IF(Data!$H359="japan",Data!$A359,"")</f>
        <v>32.4</v>
      </c>
    </row>
    <row r="371" customFormat="false" ht="15" hidden="false" customHeight="true" outlineLevel="0" collapsed="false">
      <c r="F371" s="1" t="str">
        <f aca="false">IF(Data!$H360="usa",Data!$A360,"")</f>
        <v/>
      </c>
      <c r="G371" s="21" t="n">
        <f aca="false">IF(Data!$H360="japan",Data!$A360,"")</f>
        <v>32.9</v>
      </c>
    </row>
    <row r="372" customFormat="false" ht="15" hidden="false" customHeight="true" outlineLevel="0" collapsed="false">
      <c r="F372" s="1" t="str">
        <f aca="false">IF(Data!$H361="usa",Data!$A361,"")</f>
        <v/>
      </c>
      <c r="G372" s="21" t="n">
        <f aca="false">IF(Data!$H361="japan",Data!$A361,"")</f>
        <v>31.6</v>
      </c>
    </row>
    <row r="373" customFormat="false" ht="15" hidden="false" customHeight="true" outlineLevel="0" collapsed="false">
      <c r="F373" s="1" t="str">
        <f aca="false">IF(Data!$H362="usa",Data!$A362,"")</f>
        <v/>
      </c>
      <c r="G373" s="1" t="str">
        <f aca="false">IF(Data!$H362="japan",Data!$A362,"")</f>
        <v/>
      </c>
    </row>
    <row r="374" customFormat="false" ht="15" hidden="false" customHeight="true" outlineLevel="0" collapsed="false">
      <c r="F374" s="1" t="str">
        <f aca="false">IF(Data!$H363="usa",Data!$A363,"")</f>
        <v/>
      </c>
      <c r="G374" s="1" t="str">
        <f aca="false">IF(Data!$H363="japan",Data!$A363,"")</f>
        <v/>
      </c>
    </row>
    <row r="375" customFormat="false" ht="15" hidden="false" customHeight="true" outlineLevel="0" collapsed="false">
      <c r="F375" s="1" t="str">
        <f aca="false">IF(Data!$H364="usa",Data!$A364,"")</f>
        <v/>
      </c>
      <c r="G375" s="21" t="n">
        <f aca="false">IF(Data!$H364="japan",Data!$A364,"")</f>
        <v>25.4</v>
      </c>
    </row>
    <row r="376" customFormat="false" ht="15" hidden="false" customHeight="true" outlineLevel="0" collapsed="false">
      <c r="F376" s="1" t="str">
        <f aca="false">IF(Data!$H365="usa",Data!$A365,"")</f>
        <v/>
      </c>
      <c r="G376" s="21" t="n">
        <f aca="false">IF(Data!$H365="japan",Data!$A365,"")</f>
        <v>24.2</v>
      </c>
    </row>
    <row r="377" customFormat="false" ht="15" hidden="false" customHeight="true" outlineLevel="0" collapsed="false">
      <c r="F377" s="21" t="n">
        <f aca="false">IF(Data!$H366="usa",Data!$A366,"")</f>
        <v>22.4</v>
      </c>
      <c r="G377" s="1" t="str">
        <f aca="false">IF(Data!$H366="japan",Data!$A366,"")</f>
        <v/>
      </c>
    </row>
    <row r="378" customFormat="false" ht="15" hidden="false" customHeight="true" outlineLevel="0" collapsed="false">
      <c r="F378" s="21" t="n">
        <f aca="false">IF(Data!$H367="usa",Data!$A367,"")</f>
        <v>26.6</v>
      </c>
      <c r="G378" s="1" t="str">
        <f aca="false">IF(Data!$H367="japan",Data!$A367,"")</f>
        <v/>
      </c>
    </row>
    <row r="379" customFormat="false" ht="15" hidden="false" customHeight="true" outlineLevel="0" collapsed="false">
      <c r="F379" s="21" t="n">
        <f aca="false">IF(Data!$H368="usa",Data!$A368,"")</f>
        <v>20.2</v>
      </c>
      <c r="G379" s="1" t="str">
        <f aca="false">IF(Data!$H368="japan",Data!$A368,"")</f>
        <v/>
      </c>
    </row>
    <row r="380" customFormat="false" ht="15" hidden="false" customHeight="true" outlineLevel="0" collapsed="false">
      <c r="F380" s="21" t="n">
        <f aca="false">IF(Data!$H369="usa",Data!$A369,"")</f>
        <v>17.6</v>
      </c>
      <c r="G380" s="1" t="str">
        <f aca="false">IF(Data!$H369="japan",Data!$A369,"")</f>
        <v/>
      </c>
    </row>
    <row r="381" customFormat="false" ht="15" hidden="false" customHeight="true" outlineLevel="0" collapsed="false">
      <c r="F381" s="21" t="n">
        <f aca="false">IF(Data!$H370="usa",Data!$A370,"")</f>
        <v>28</v>
      </c>
      <c r="G381" s="1" t="str">
        <f aca="false">IF(Data!$H370="japan",Data!$A370,"")</f>
        <v/>
      </c>
    </row>
    <row r="382" customFormat="false" ht="15" hidden="false" customHeight="true" outlineLevel="0" collapsed="false">
      <c r="F382" s="21" t="n">
        <f aca="false">IF(Data!$H371="usa",Data!$A371,"")</f>
        <v>27</v>
      </c>
      <c r="G382" s="1" t="str">
        <f aca="false">IF(Data!$H371="japan",Data!$A371,"")</f>
        <v/>
      </c>
    </row>
    <row r="383" customFormat="false" ht="15" hidden="false" customHeight="true" outlineLevel="0" collapsed="false">
      <c r="F383" s="21" t="n">
        <f aca="false">IF(Data!$H372="usa",Data!$A372,"")</f>
        <v>34</v>
      </c>
      <c r="G383" s="1" t="str">
        <f aca="false">IF(Data!$H372="japan",Data!$A372,"")</f>
        <v/>
      </c>
    </row>
    <row r="384" customFormat="false" ht="15" hidden="false" customHeight="true" outlineLevel="0" collapsed="false">
      <c r="F384" s="21" t="n">
        <f aca="false">IF(Data!$H373="usa",Data!$A373,"")</f>
        <v>31</v>
      </c>
      <c r="G384" s="1" t="str">
        <f aca="false">IF(Data!$H373="japan",Data!$A373,"")</f>
        <v/>
      </c>
    </row>
    <row r="385" customFormat="false" ht="15" hidden="false" customHeight="true" outlineLevel="0" collapsed="false">
      <c r="F385" s="21" t="n">
        <f aca="false">IF(Data!$H374="usa",Data!$A374,"")</f>
        <v>29</v>
      </c>
      <c r="G385" s="1" t="str">
        <f aca="false">IF(Data!$H374="japan",Data!$A374,"")</f>
        <v/>
      </c>
    </row>
    <row r="386" customFormat="false" ht="15" hidden="false" customHeight="true" outlineLevel="0" collapsed="false">
      <c r="F386" s="21" t="n">
        <f aca="false">IF(Data!$H375="usa",Data!$A375,"")</f>
        <v>27</v>
      </c>
      <c r="G386" s="1" t="str">
        <f aca="false">IF(Data!$H375="japan",Data!$A375,"")</f>
        <v/>
      </c>
    </row>
    <row r="387" customFormat="false" ht="15" hidden="false" customHeight="true" outlineLevel="0" collapsed="false">
      <c r="F387" s="21" t="n">
        <f aca="false">IF(Data!$H376="usa",Data!$A376,"")</f>
        <v>24</v>
      </c>
      <c r="G387" s="1" t="str">
        <f aca="false">IF(Data!$H376="japan",Data!$A376,"")</f>
        <v/>
      </c>
    </row>
    <row r="388" customFormat="false" ht="15" hidden="false" customHeight="true" outlineLevel="0" collapsed="false">
      <c r="F388" s="21" t="n">
        <f aca="false">IF(Data!$H377="usa",Data!$A377,"")</f>
        <v>23</v>
      </c>
      <c r="G388" s="1" t="str">
        <f aca="false">IF(Data!$H377="japan",Data!$A377,"")</f>
        <v/>
      </c>
    </row>
    <row r="389" customFormat="false" ht="15" hidden="false" customHeight="true" outlineLevel="0" collapsed="false">
      <c r="F389" s="1" t="str">
        <f aca="false">IF(Data!$H378="usa",Data!$A378,"")</f>
        <v/>
      </c>
      <c r="G389" s="1" t="str">
        <f aca="false">IF(Data!$H378="japan",Data!$A378,"")</f>
        <v/>
      </c>
    </row>
    <row r="390" customFormat="false" ht="15" hidden="false" customHeight="true" outlineLevel="0" collapsed="false">
      <c r="F390" s="1" t="str">
        <f aca="false">IF(Data!$H379="usa",Data!$A379,"")</f>
        <v/>
      </c>
      <c r="G390" s="21" t="n">
        <f aca="false">IF(Data!$H379="japan",Data!$A379,"")</f>
        <v>37</v>
      </c>
    </row>
    <row r="391" customFormat="false" ht="15" hidden="false" customHeight="true" outlineLevel="0" collapsed="false">
      <c r="F391" s="1" t="str">
        <f aca="false">IF(Data!$H380="usa",Data!$A380,"")</f>
        <v/>
      </c>
      <c r="G391" s="21" t="n">
        <f aca="false">IF(Data!$H380="japan",Data!$A380,"")</f>
        <v>31</v>
      </c>
    </row>
    <row r="392" customFormat="false" ht="15" hidden="false" customHeight="true" outlineLevel="0" collapsed="false">
      <c r="F392" s="21" t="n">
        <f aca="false">IF(Data!$H381="usa",Data!$A381,"")</f>
        <v>38</v>
      </c>
      <c r="G392" s="1" t="str">
        <f aca="false">IF(Data!$H381="japan",Data!$A381,"")</f>
        <v/>
      </c>
    </row>
    <row r="393" customFormat="false" ht="15" hidden="false" customHeight="true" outlineLevel="0" collapsed="false">
      <c r="F393" s="21" t="n">
        <f aca="false">IF(Data!$H382="usa",Data!$A382,"")</f>
        <v>36</v>
      </c>
      <c r="G393" s="1" t="str">
        <f aca="false">IF(Data!$H382="japan",Data!$A382,"")</f>
        <v/>
      </c>
    </row>
    <row r="394" customFormat="false" ht="15" hidden="false" customHeight="true" outlineLevel="0" collapsed="false">
      <c r="F394" s="1" t="str">
        <f aca="false">IF(Data!$H383="usa",Data!$A383,"")</f>
        <v/>
      </c>
      <c r="G394" s="21" t="n">
        <f aca="false">IF(Data!$H383="japan",Data!$A383,"")</f>
        <v>36</v>
      </c>
    </row>
    <row r="395" customFormat="false" ht="15" hidden="false" customHeight="true" outlineLevel="0" collapsed="false">
      <c r="F395" s="1" t="str">
        <f aca="false">IF(Data!$H384="usa",Data!$A384,"")</f>
        <v/>
      </c>
      <c r="G395" s="21" t="n">
        <f aca="false">IF(Data!$H384="japan",Data!$A384,"")</f>
        <v>36</v>
      </c>
    </row>
    <row r="396" customFormat="false" ht="15" hidden="false" customHeight="true" outlineLevel="0" collapsed="false">
      <c r="F396" s="1" t="str">
        <f aca="false">IF(Data!$H385="usa",Data!$A385,"")</f>
        <v/>
      </c>
      <c r="G396" s="21" t="n">
        <f aca="false">IF(Data!$H385="japan",Data!$A385,"")</f>
        <v>34</v>
      </c>
    </row>
    <row r="397" customFormat="false" ht="15" hidden="false" customHeight="true" outlineLevel="0" collapsed="false">
      <c r="F397" s="1" t="str">
        <f aca="false">IF(Data!$H386="usa",Data!$A386,"")</f>
        <v/>
      </c>
      <c r="G397" s="21" t="n">
        <f aca="false">IF(Data!$H386="japan",Data!$A386,"")</f>
        <v>38</v>
      </c>
    </row>
    <row r="398" customFormat="false" ht="15" hidden="false" customHeight="true" outlineLevel="0" collapsed="false">
      <c r="F398" s="1" t="str">
        <f aca="false">IF(Data!$H387="usa",Data!$A387,"")</f>
        <v/>
      </c>
      <c r="G398" s="21" t="n">
        <f aca="false">IF(Data!$H387="japan",Data!$A387,"")</f>
        <v>32</v>
      </c>
    </row>
    <row r="399" customFormat="false" ht="15" hidden="false" customHeight="true" outlineLevel="0" collapsed="false">
      <c r="F399" s="1" t="str">
        <f aca="false">IF(Data!$H388="usa",Data!$A388,"")</f>
        <v/>
      </c>
      <c r="G399" s="21" t="n">
        <f aca="false">IF(Data!$H388="japan",Data!$A388,"")</f>
        <v>38</v>
      </c>
    </row>
    <row r="400" customFormat="false" ht="15" hidden="false" customHeight="true" outlineLevel="0" collapsed="false">
      <c r="F400" s="21" t="n">
        <f aca="false">IF(Data!$H389="usa",Data!$A389,"")</f>
        <v>25</v>
      </c>
      <c r="G400" s="1" t="str">
        <f aca="false">IF(Data!$H389="japan",Data!$A389,"")</f>
        <v/>
      </c>
    </row>
    <row r="401" customFormat="false" ht="15" hidden="false" customHeight="true" outlineLevel="0" collapsed="false">
      <c r="F401" s="21" t="n">
        <f aca="false">IF(Data!$H390="usa",Data!$A390,"")</f>
        <v>38</v>
      </c>
      <c r="G401" s="1" t="str">
        <f aca="false">IF(Data!$H390="japan",Data!$A390,"")</f>
        <v/>
      </c>
    </row>
    <row r="402" customFormat="false" ht="15" hidden="false" customHeight="true" outlineLevel="0" collapsed="false">
      <c r="F402" s="21" t="n">
        <f aca="false">IF(Data!$H391="usa",Data!$A391,"")</f>
        <v>26</v>
      </c>
      <c r="G402" s="1" t="str">
        <f aca="false">IF(Data!$H391="japan",Data!$A391,"")</f>
        <v/>
      </c>
    </row>
    <row r="403" customFormat="false" ht="15" hidden="false" customHeight="true" outlineLevel="0" collapsed="false">
      <c r="F403" s="21" t="n">
        <f aca="false">IF(Data!$H392="usa",Data!$A392,"")</f>
        <v>22</v>
      </c>
      <c r="G403" s="1" t="str">
        <f aca="false">IF(Data!$H392="japan",Data!$A392,"")</f>
        <v/>
      </c>
    </row>
    <row r="404" customFormat="false" ht="15" hidden="false" customHeight="true" outlineLevel="0" collapsed="false">
      <c r="F404" s="1" t="str">
        <f aca="false">IF(Data!$H393="usa",Data!$A393,"")</f>
        <v/>
      </c>
      <c r="G404" s="21" t="n">
        <f aca="false">IF(Data!$H393="japan",Data!$A393,"")</f>
        <v>32</v>
      </c>
    </row>
    <row r="405" customFormat="false" ht="15" hidden="false" customHeight="true" outlineLevel="0" collapsed="false">
      <c r="F405" s="21" t="n">
        <f aca="false">IF(Data!$H394="usa",Data!$A394,"")</f>
        <v>36</v>
      </c>
      <c r="G405" s="1" t="str">
        <f aca="false">IF(Data!$H394="japan",Data!$A394,"")</f>
        <v/>
      </c>
    </row>
    <row r="406" customFormat="false" ht="15" hidden="false" customHeight="true" outlineLevel="0" collapsed="false">
      <c r="F406" s="21" t="n">
        <f aca="false">IF(Data!$H395="usa",Data!$A395,"")</f>
        <v>27</v>
      </c>
      <c r="G406" s="1" t="str">
        <f aca="false">IF(Data!$H395="japan",Data!$A395,"")</f>
        <v/>
      </c>
    </row>
    <row r="407" customFormat="false" ht="15" hidden="false" customHeight="true" outlineLevel="0" collapsed="false">
      <c r="F407" s="21" t="n">
        <f aca="false">IF(Data!$H396="usa",Data!$A396,"")</f>
        <v>27</v>
      </c>
      <c r="G407" s="1" t="str">
        <f aca="false">IF(Data!$H396="japan",Data!$A396,"")</f>
        <v/>
      </c>
    </row>
    <row r="408" customFormat="false" ht="15" hidden="false" customHeight="true" outlineLevel="0" collapsed="false">
      <c r="F408" s="1" t="str">
        <f aca="false">IF(Data!$H397="usa",Data!$A397,"")</f>
        <v/>
      </c>
      <c r="G408" s="1" t="str">
        <f aca="false">IF(Data!$H397="japan",Data!$A397,"")</f>
        <v/>
      </c>
    </row>
    <row r="409" customFormat="false" ht="15" hidden="false" customHeight="true" outlineLevel="0" collapsed="false">
      <c r="F409" s="21" t="n">
        <f aca="false">IF(Data!$H398="usa",Data!$A398,"")</f>
        <v>32</v>
      </c>
      <c r="G409" s="1" t="str">
        <f aca="false">IF(Data!$H398="japan",Data!$A398,"")</f>
        <v/>
      </c>
    </row>
    <row r="410" customFormat="false" ht="15" hidden="false" customHeight="true" outlineLevel="0" collapsed="false">
      <c r="F410" s="21" t="n">
        <f aca="false">IF(Data!$H399="usa",Data!$A399,"")</f>
        <v>28</v>
      </c>
      <c r="G410" s="1" t="str">
        <f aca="false">IF(Data!$H399="japan",Data!$A399,"")</f>
        <v/>
      </c>
    </row>
    <row r="411" customFormat="false" ht="15" hidden="false" customHeight="true" outlineLevel="0" collapsed="false">
      <c r="F411" s="21" t="n">
        <f aca="false">IF(Data!$H400="usa",Data!$A400,"")</f>
        <v>31</v>
      </c>
      <c r="G411" s="1" t="str">
        <f aca="false">IF(Data!$H400="japan",Data!$A400,"")</f>
        <v/>
      </c>
    </row>
  </sheetData>
  <mergeCells count="13">
    <mergeCell ref="A1:D1"/>
    <mergeCell ref="A3:D3"/>
    <mergeCell ref="A4:D6"/>
    <mergeCell ref="A11:D11"/>
    <mergeCell ref="A12:D12"/>
    <mergeCell ref="A13:D13"/>
    <mergeCell ref="A21:D21"/>
    <mergeCell ref="C23:D23"/>
    <mergeCell ref="B26:D26"/>
    <mergeCell ref="A28:D28"/>
    <mergeCell ref="A29:D30"/>
    <mergeCell ref="A32:D32"/>
    <mergeCell ref="A33:D3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18"/>
    <col collapsed="false" customWidth="true" hidden="false" outlineLevel="0" max="3" min="3" style="1" width="6"/>
    <col collapsed="false" customWidth="true" hidden="false" outlineLevel="0" max="4" min="4" style="1" width="55"/>
    <col collapsed="false" customWidth="true" hidden="false" outlineLevel="0" max="5" min="5" style="1" width="6"/>
    <col collapsed="false" customWidth="true" hidden="false" outlineLevel="0" max="8" min="6" style="1" width="12"/>
  </cols>
  <sheetData>
    <row r="1" customFormat="false" ht="25.5" hidden="false" customHeight="true" outlineLevel="0" collapsed="false">
      <c r="A1" s="2" t="s">
        <v>402</v>
      </c>
      <c r="B1" s="2"/>
      <c r="C1" s="2"/>
      <c r="D1" s="2"/>
    </row>
    <row r="3" customFormat="false" ht="18" hidden="false" customHeight="true" outlineLevel="0" collapsed="false">
      <c r="A3" s="4" t="s">
        <v>361</v>
      </c>
      <c r="B3" s="4"/>
      <c r="C3" s="4"/>
      <c r="D3" s="4"/>
    </row>
    <row r="4" customFormat="false" ht="15" hidden="false" customHeight="true" outlineLevel="0" collapsed="false">
      <c r="A4" s="3" t="s">
        <v>403</v>
      </c>
      <c r="B4" s="3"/>
      <c r="C4" s="3"/>
      <c r="D4" s="3"/>
    </row>
    <row r="5" customFormat="false" ht="15" hidden="false" customHeight="true" outlineLevel="0" collapsed="false">
      <c r="A5" s="3"/>
      <c r="B5" s="3"/>
      <c r="C5" s="3"/>
      <c r="D5" s="3"/>
    </row>
    <row r="6" customFormat="false" ht="15" hidden="false" customHeight="true" outlineLevel="0" collapsed="false">
      <c r="A6" s="3"/>
      <c r="B6" s="3"/>
      <c r="C6" s="3"/>
      <c r="D6" s="3"/>
    </row>
    <row r="8" customFormat="false" ht="15" hidden="false" customHeight="true" outlineLevel="0" collapsed="false">
      <c r="A8" s="12" t="s">
        <v>363</v>
      </c>
      <c r="B8" s="13" t="s">
        <v>404</v>
      </c>
    </row>
    <row r="9" customFormat="false" ht="15" hidden="false" customHeight="true" outlineLevel="0" collapsed="false">
      <c r="A9" s="12" t="s">
        <v>365</v>
      </c>
      <c r="B9" s="13" t="s">
        <v>405</v>
      </c>
    </row>
    <row r="11" customFormat="false" ht="18" hidden="false" customHeight="true" outlineLevel="0" collapsed="false">
      <c r="A11" s="4" t="s">
        <v>386</v>
      </c>
      <c r="B11" s="4"/>
      <c r="C11" s="4"/>
      <c r="D11" s="4"/>
    </row>
    <row r="12" customFormat="false" ht="15" hidden="false" customHeight="true" outlineLevel="0" collapsed="false">
      <c r="A12" s="3" t="s">
        <v>406</v>
      </c>
      <c r="B12" s="3"/>
      <c r="C12" s="3"/>
      <c r="D12" s="3"/>
    </row>
    <row r="13" customFormat="false" ht="18" hidden="false" customHeight="true" outlineLevel="0" collapsed="false">
      <c r="A13" s="4" t="s">
        <v>407</v>
      </c>
      <c r="B13" s="4"/>
      <c r="C13" s="4"/>
      <c r="D13" s="4"/>
      <c r="F13" s="20" t="s">
        <v>389</v>
      </c>
      <c r="G13" s="20" t="s">
        <v>390</v>
      </c>
      <c r="H13" s="20" t="s">
        <v>408</v>
      </c>
    </row>
    <row r="14" customFormat="false" ht="15" hidden="false" customHeight="true" outlineLevel="0" collapsed="false">
      <c r="A14" s="22" t="s">
        <v>409</v>
      </c>
      <c r="B14" s="14" t="n">
        <f aca="false">COUNT(F14:F411)</f>
        <v>249</v>
      </c>
      <c r="C14" s="14" t="n">
        <f aca="false">COUNT(G14:G411)</f>
        <v>79</v>
      </c>
      <c r="D14" s="14" t="n">
        <f aca="false">COUNT(H14:H411)</f>
        <v>70</v>
      </c>
      <c r="F14" s="21" t="n">
        <f aca="false">IF(Data!$H3="usa",Data!$A3,"")</f>
        <v>18</v>
      </c>
      <c r="G14" s="1" t="str">
        <f aca="false">IF(Data!$H3="japan",Data!$A3,"")</f>
        <v/>
      </c>
      <c r="H14" s="1" t="str">
        <f aca="false">IF(Data!$H3="europe",Data!$A3,"")</f>
        <v/>
      </c>
    </row>
    <row r="15" customFormat="false" ht="15" hidden="false" customHeight="true" outlineLevel="0" collapsed="false">
      <c r="A15" s="22" t="s">
        <v>410</v>
      </c>
      <c r="B15" s="15" t="n">
        <f aca="false">AVERAGE(F14:F411)</f>
        <v>20.0835341365462</v>
      </c>
      <c r="C15" s="15" t="n">
        <f aca="false">AVERAGE(G14:G411)</f>
        <v>30.4506329113924</v>
      </c>
      <c r="D15" s="15" t="n">
        <f aca="false">AVERAGE(H14:H411)</f>
        <v>27.8914285714286</v>
      </c>
      <c r="F15" s="21" t="n">
        <f aca="false">IF(Data!$H4="usa",Data!$A4,"")</f>
        <v>15</v>
      </c>
      <c r="G15" s="1" t="str">
        <f aca="false">IF(Data!$H4="japan",Data!$A4,"")</f>
        <v/>
      </c>
      <c r="H15" s="1" t="str">
        <f aca="false">IF(Data!$H4="europe",Data!$A4,"")</f>
        <v/>
      </c>
    </row>
    <row r="16" customFormat="false" ht="15" hidden="false" customHeight="true" outlineLevel="0" collapsed="false">
      <c r="A16" s="22" t="s">
        <v>411</v>
      </c>
      <c r="B16" s="15" t="n">
        <f aca="false">STDEV(F14:F411)</f>
        <v>6.40289201604969</v>
      </c>
      <c r="C16" s="15" t="n">
        <f aca="false">STDEV(G14:G411)</f>
        <v>6.09004806973832</v>
      </c>
      <c r="D16" s="15" t="n">
        <f aca="false">STDEV(H14:H411)</f>
        <v>6.72392964074317</v>
      </c>
      <c r="F16" s="21" t="n">
        <f aca="false">IF(Data!$H5="usa",Data!$A5,"")</f>
        <v>18</v>
      </c>
      <c r="G16" s="1" t="str">
        <f aca="false">IF(Data!$H5="japan",Data!$A5,"")</f>
        <v/>
      </c>
      <c r="H16" s="1" t="str">
        <f aca="false">IF(Data!$H5="europe",Data!$A5,"")</f>
        <v/>
      </c>
    </row>
    <row r="17" customFormat="false" ht="15" hidden="false" customHeight="true" outlineLevel="0" collapsed="false">
      <c r="F17" s="21" t="n">
        <f aca="false">IF(Data!$H6="usa",Data!$A6,"")</f>
        <v>16</v>
      </c>
      <c r="G17" s="1" t="str">
        <f aca="false">IF(Data!$H6="japan",Data!$A6,"")</f>
        <v/>
      </c>
      <c r="H17" s="1" t="str">
        <f aca="false">IF(Data!$H6="europe",Data!$A6,"")</f>
        <v/>
      </c>
    </row>
    <row r="18" customFormat="false" ht="18" hidden="false" customHeight="true" outlineLevel="0" collapsed="false">
      <c r="A18" s="4" t="s">
        <v>412</v>
      </c>
      <c r="B18" s="4"/>
      <c r="C18" s="4"/>
      <c r="D18" s="4"/>
      <c r="F18" s="21" t="n">
        <f aca="false">IF(Data!$H7="usa",Data!$A7,"")</f>
        <v>17</v>
      </c>
      <c r="G18" s="1" t="str">
        <f aca="false">IF(Data!$H7="japan",Data!$A7,"")</f>
        <v/>
      </c>
      <c r="H18" s="1" t="str">
        <f aca="false">IF(Data!$H7="europe",Data!$A7,"")</f>
        <v/>
      </c>
    </row>
    <row r="19" customFormat="false" ht="15" hidden="false" customHeight="true" outlineLevel="0" collapsed="false">
      <c r="A19" s="22" t="s">
        <v>413</v>
      </c>
      <c r="B19" s="24" t="n">
        <f aca="false">DEVSQ(Data!$A$3:$A$400)</f>
        <v>24252.5754773869</v>
      </c>
      <c r="F19" s="21" t="n">
        <f aca="false">IF(Data!$H8="usa",Data!$A8,"")</f>
        <v>15</v>
      </c>
      <c r="G19" s="1" t="str">
        <f aca="false">IF(Data!$H8="japan",Data!$A8,"")</f>
        <v/>
      </c>
      <c r="H19" s="1" t="str">
        <f aca="false">IF(Data!$H8="europe",Data!$A8,"")</f>
        <v/>
      </c>
    </row>
    <row r="20" customFormat="false" ht="23.25" hidden="false" customHeight="true" outlineLevel="0" collapsed="false">
      <c r="A20" s="22" t="s">
        <v>414</v>
      </c>
      <c r="B20" s="24" t="n">
        <f aca="false">DEVSQ(F14:F411)+DEVSQ(G14:G411)+DEVSQ(H14:H411)</f>
        <v>16179.7548154571</v>
      </c>
      <c r="F20" s="21" t="n">
        <f aca="false">IF(Data!$H9="usa",Data!$A9,"")</f>
        <v>14</v>
      </c>
      <c r="G20" s="1" t="str">
        <f aca="false">IF(Data!$H9="japan",Data!$A9,"")</f>
        <v/>
      </c>
      <c r="H20" s="1" t="str">
        <f aca="false">IF(Data!$H9="europe",Data!$A9,"")</f>
        <v/>
      </c>
    </row>
    <row r="21" customFormat="false" ht="23.25" hidden="false" customHeight="true" outlineLevel="0" collapsed="false">
      <c r="A21" s="22" t="s">
        <v>415</v>
      </c>
      <c r="B21" s="24" t="n">
        <f aca="false">B19-B20</f>
        <v>8072.8206619298</v>
      </c>
      <c r="F21" s="21" t="n">
        <f aca="false">IF(Data!$H10="usa",Data!$A10,"")</f>
        <v>14</v>
      </c>
      <c r="G21" s="1" t="str">
        <f aca="false">IF(Data!$H10="japan",Data!$A10,"")</f>
        <v/>
      </c>
      <c r="H21" s="1" t="str">
        <f aca="false">IF(Data!$H10="europe",Data!$A10,"")</f>
        <v/>
      </c>
    </row>
    <row r="22" customFormat="false" ht="15" hidden="false" customHeight="true" outlineLevel="0" collapsed="false">
      <c r="F22" s="21" t="n">
        <f aca="false">IF(Data!$H11="usa",Data!$A11,"")</f>
        <v>14</v>
      </c>
      <c r="G22" s="1" t="str">
        <f aca="false">IF(Data!$H11="japan",Data!$A11,"")</f>
        <v/>
      </c>
      <c r="H22" s="1" t="str">
        <f aca="false">IF(Data!$H11="europe",Data!$A11,"")</f>
        <v/>
      </c>
    </row>
    <row r="23" customFormat="false" ht="18" hidden="false" customHeight="true" outlineLevel="0" collapsed="false">
      <c r="A23" s="4" t="s">
        <v>416</v>
      </c>
      <c r="B23" s="4"/>
      <c r="C23" s="4"/>
      <c r="D23" s="4"/>
      <c r="F23" s="21" t="n">
        <f aca="false">IF(Data!$H12="usa",Data!$A12,"")</f>
        <v>15</v>
      </c>
      <c r="G23" s="1" t="str">
        <f aca="false">IF(Data!$H12="japan",Data!$A12,"")</f>
        <v/>
      </c>
      <c r="H23" s="1" t="str">
        <f aca="false">IF(Data!$H12="europe",Data!$A12,"")</f>
        <v/>
      </c>
    </row>
    <row r="24" customFormat="false" ht="15" hidden="false" customHeight="true" outlineLevel="0" collapsed="false">
      <c r="A24" s="12" t="s">
        <v>417</v>
      </c>
      <c r="B24" s="14" t="n">
        <f aca="false">3-1</f>
        <v>2</v>
      </c>
      <c r="F24" s="21" t="n">
        <f aca="false">IF(Data!$H13="usa",Data!$A13,"")</f>
        <v>15</v>
      </c>
      <c r="G24" s="1" t="str">
        <f aca="false">IF(Data!$H13="japan",Data!$A13,"")</f>
        <v/>
      </c>
      <c r="H24" s="1" t="str">
        <f aca="false">IF(Data!$H13="europe",Data!$A13,"")</f>
        <v/>
      </c>
    </row>
    <row r="25" customFormat="false" ht="15" hidden="false" customHeight="true" outlineLevel="0" collapsed="false">
      <c r="A25" s="12" t="s">
        <v>418</v>
      </c>
      <c r="B25" s="14" t="n">
        <f aca="false">COUNT(Data!$A$3:$A$400)-3</f>
        <v>395</v>
      </c>
      <c r="F25" s="21" t="n">
        <f aca="false">IF(Data!$H14="usa",Data!$A14,"")</f>
        <v>14</v>
      </c>
      <c r="G25" s="1" t="str">
        <f aca="false">IF(Data!$H14="japan",Data!$A14,"")</f>
        <v/>
      </c>
      <c r="H25" s="1" t="str">
        <f aca="false">IF(Data!$H14="europe",Data!$A14,"")</f>
        <v/>
      </c>
    </row>
    <row r="26" customFormat="false" ht="15" hidden="false" customHeight="true" outlineLevel="0" collapsed="false">
      <c r="A26" s="12" t="s">
        <v>419</v>
      </c>
      <c r="B26" s="15" t="n">
        <f aca="false">B21/B24</f>
        <v>4036.4103309649</v>
      </c>
      <c r="F26" s="21" t="n">
        <f aca="false">IF(Data!$H15="usa",Data!$A15,"")</f>
        <v>15</v>
      </c>
      <c r="G26" s="1" t="str">
        <f aca="false">IF(Data!$H15="japan",Data!$A15,"")</f>
        <v/>
      </c>
      <c r="H26" s="1" t="str">
        <f aca="false">IF(Data!$H15="europe",Data!$A15,"")</f>
        <v/>
      </c>
    </row>
    <row r="27" customFormat="false" ht="15" hidden="false" customHeight="true" outlineLevel="0" collapsed="false">
      <c r="A27" s="12" t="s">
        <v>420</v>
      </c>
      <c r="B27" s="15" t="n">
        <f aca="false">B20/B25</f>
        <v>40.961404596094</v>
      </c>
      <c r="F27" s="21" t="n">
        <f aca="false">IF(Data!$H16="usa",Data!$A16,"")</f>
        <v>14</v>
      </c>
      <c r="G27" s="1" t="str">
        <f aca="false">IF(Data!$H16="japan",Data!$A16,"")</f>
        <v/>
      </c>
      <c r="H27" s="1" t="str">
        <f aca="false">IF(Data!$H16="europe",Data!$A16,"")</f>
        <v/>
      </c>
    </row>
    <row r="28" customFormat="false" ht="15" hidden="false" customHeight="true" outlineLevel="0" collapsed="false">
      <c r="A28" s="12" t="s">
        <v>421</v>
      </c>
      <c r="B28" s="16" t="n">
        <f aca="false">B26/B27</f>
        <v>98.5417949107586</v>
      </c>
      <c r="F28" s="1" t="str">
        <f aca="false">IF(Data!$H17="usa",Data!$A17,"")</f>
        <v/>
      </c>
      <c r="G28" s="21" t="n">
        <f aca="false">IF(Data!$H17="japan",Data!$A17,"")</f>
        <v>24</v>
      </c>
      <c r="H28" s="1" t="str">
        <f aca="false">IF(Data!$H17="europe",Data!$A17,"")</f>
        <v/>
      </c>
    </row>
    <row r="29" customFormat="false" ht="15" hidden="false" customHeight="true" outlineLevel="0" collapsed="false">
      <c r="A29" s="12" t="s">
        <v>422</v>
      </c>
      <c r="B29" s="23" t="n">
        <f aca="false">FDIST(B28,B24,B25)</f>
        <v>1.91548641841292E-035</v>
      </c>
      <c r="C29" s="3" t="s">
        <v>423</v>
      </c>
      <c r="D29" s="3"/>
      <c r="F29" s="21" t="n">
        <f aca="false">IF(Data!$H18="usa",Data!$A18,"")</f>
        <v>22</v>
      </c>
      <c r="G29" s="1" t="str">
        <f aca="false">IF(Data!$H18="japan",Data!$A18,"")</f>
        <v/>
      </c>
      <c r="H29" s="1" t="str">
        <f aca="false">IF(Data!$H18="europe",Data!$A18,"")</f>
        <v/>
      </c>
    </row>
    <row r="30" customFormat="false" ht="15" hidden="false" customHeight="true" outlineLevel="0" collapsed="false">
      <c r="A30" s="12" t="s">
        <v>378</v>
      </c>
      <c r="B30" s="7" t="n">
        <v>0.05</v>
      </c>
      <c r="F30" s="21" t="n">
        <f aca="false">IF(Data!$H19="usa",Data!$A19,"")</f>
        <v>18</v>
      </c>
      <c r="G30" s="1" t="str">
        <f aca="false">IF(Data!$H19="japan",Data!$A19,"")</f>
        <v/>
      </c>
      <c r="H30" s="1" t="str">
        <f aca="false">IF(Data!$H19="europe",Data!$A19,"")</f>
        <v/>
      </c>
    </row>
    <row r="31" customFormat="false" ht="15" hidden="false" customHeight="true" outlineLevel="0" collapsed="false">
      <c r="F31" s="21" t="n">
        <f aca="false">IF(Data!$H20="usa",Data!$A20,"")</f>
        <v>21</v>
      </c>
      <c r="G31" s="1" t="str">
        <f aca="false">IF(Data!$H20="japan",Data!$A20,"")</f>
        <v/>
      </c>
      <c r="H31" s="1" t="str">
        <f aca="false">IF(Data!$H20="europe",Data!$A20,"")</f>
        <v/>
      </c>
    </row>
    <row r="32" customFormat="false" ht="15" hidden="false" customHeight="true" outlineLevel="0" collapsed="false">
      <c r="A32" s="12" t="s">
        <v>40</v>
      </c>
      <c r="B32" s="18" t="str">
        <f aca="false">IF(B29&lt;B30,"Reject H0: MPG differs significantly across origins","Fail to reject H0: No significant difference in MPG")</f>
        <v>Reject H0: MPG differs significantly across origins</v>
      </c>
      <c r="C32" s="18"/>
      <c r="D32" s="18"/>
      <c r="F32" s="1" t="str">
        <f aca="false">IF(Data!$H21="usa",Data!$A21,"")</f>
        <v/>
      </c>
      <c r="G32" s="21" t="n">
        <f aca="false">IF(Data!$H21="japan",Data!$A21,"")</f>
        <v>27</v>
      </c>
      <c r="H32" s="1" t="str">
        <f aca="false">IF(Data!$H21="europe",Data!$A21,"")</f>
        <v/>
      </c>
    </row>
    <row r="33" customFormat="false" ht="15" hidden="false" customHeight="true" outlineLevel="0" collapsed="false">
      <c r="F33" s="1" t="str">
        <f aca="false">IF(Data!$H22="usa",Data!$A22,"")</f>
        <v/>
      </c>
      <c r="G33" s="1" t="str">
        <f aca="false">IF(Data!$H22="japan",Data!$A22,"")</f>
        <v/>
      </c>
      <c r="H33" s="21" t="n">
        <f aca="false">IF(Data!$H22="europe",Data!$A22,"")</f>
        <v>26</v>
      </c>
    </row>
    <row r="34" customFormat="false" ht="18" hidden="false" customHeight="true" outlineLevel="0" collapsed="false">
      <c r="A34" s="4" t="s">
        <v>379</v>
      </c>
      <c r="B34" s="4"/>
      <c r="C34" s="4"/>
      <c r="D34" s="4"/>
      <c r="F34" s="1" t="str">
        <f aca="false">IF(Data!$H23="usa",Data!$A23,"")</f>
        <v/>
      </c>
      <c r="G34" s="1" t="str">
        <f aca="false">IF(Data!$H23="japan",Data!$A23,"")</f>
        <v/>
      </c>
      <c r="H34" s="21" t="n">
        <f aca="false">IF(Data!$H23="europe",Data!$A23,"")</f>
        <v>25</v>
      </c>
    </row>
    <row r="35" customFormat="false" ht="15" hidden="false" customHeight="true" outlineLevel="0" collapsed="false">
      <c r="A35" s="3" t="s">
        <v>424</v>
      </c>
      <c r="B35" s="3"/>
      <c r="C35" s="3"/>
      <c r="D35" s="3"/>
      <c r="F35" s="1" t="str">
        <f aca="false">IF(Data!$H24="usa",Data!$A24,"")</f>
        <v/>
      </c>
      <c r="G35" s="1" t="str">
        <f aca="false">IF(Data!$H24="japan",Data!$A24,"")</f>
        <v/>
      </c>
      <c r="H35" s="21" t="n">
        <f aca="false">IF(Data!$H24="europe",Data!$A24,"")</f>
        <v>24</v>
      </c>
    </row>
    <row r="36" customFormat="false" ht="15" hidden="false" customHeight="true" outlineLevel="0" collapsed="false">
      <c r="A36" s="3"/>
      <c r="B36" s="3"/>
      <c r="C36" s="3"/>
      <c r="D36" s="3"/>
      <c r="F36" s="1" t="str">
        <f aca="false">IF(Data!$H25="usa",Data!$A25,"")</f>
        <v/>
      </c>
      <c r="G36" s="1" t="str">
        <f aca="false">IF(Data!$H25="japan",Data!$A25,"")</f>
        <v/>
      </c>
      <c r="H36" s="21" t="n">
        <f aca="false">IF(Data!$H25="europe",Data!$A25,"")</f>
        <v>25</v>
      </c>
    </row>
    <row r="37" customFormat="false" ht="15" hidden="false" customHeight="true" outlineLevel="0" collapsed="false">
      <c r="F37" s="1" t="str">
        <f aca="false">IF(Data!$H26="usa",Data!$A26,"")</f>
        <v/>
      </c>
      <c r="G37" s="1" t="str">
        <f aca="false">IF(Data!$H26="japan",Data!$A26,"")</f>
        <v/>
      </c>
      <c r="H37" s="21" t="n">
        <f aca="false">IF(Data!$H26="europe",Data!$A26,"")</f>
        <v>26</v>
      </c>
    </row>
    <row r="38" customFormat="false" ht="18" hidden="false" customHeight="true" outlineLevel="0" collapsed="false">
      <c r="A38" s="4" t="s">
        <v>381</v>
      </c>
      <c r="B38" s="4"/>
      <c r="C38" s="4"/>
      <c r="D38" s="4"/>
      <c r="F38" s="21" t="n">
        <f aca="false">IF(Data!$H27="usa",Data!$A27,"")</f>
        <v>21</v>
      </c>
      <c r="G38" s="1" t="str">
        <f aca="false">IF(Data!$H27="japan",Data!$A27,"")</f>
        <v/>
      </c>
      <c r="H38" s="1" t="str">
        <f aca="false">IF(Data!$H27="europe",Data!$A27,"")</f>
        <v/>
      </c>
    </row>
    <row r="39" customFormat="false" ht="60" hidden="false" customHeight="true" outlineLevel="0" collapsed="false">
      <c r="A39" s="19" t="str">
        <f aca="false">IF(B29&lt;B30,"Average MPG differs significantly across USA, Japan, and Europe based cars. This means the variation in fuel efficiency between these regions is statistically significant and unlikely to be due to chance.","No statistically significant difference in average MPG was found across USA, Japan, and Europe.")</f>
        <v>Average MPG differs significantly across USA, Japan, and Europe based cars. This means the variation in fuel efficiency between these regions is statistically significant and unlikely to be due to chance.</v>
      </c>
      <c r="B39" s="19"/>
      <c r="C39" s="19"/>
      <c r="D39" s="19"/>
      <c r="F39" s="21" t="n">
        <f aca="false">IF(Data!$H28="usa",Data!$A28,"")</f>
        <v>10</v>
      </c>
      <c r="G39" s="1" t="str">
        <f aca="false">IF(Data!$H28="japan",Data!$A28,"")</f>
        <v/>
      </c>
      <c r="H39" s="1" t="str">
        <f aca="false">IF(Data!$H28="europe",Data!$A28,"")</f>
        <v/>
      </c>
    </row>
    <row r="40" customFormat="false" ht="15" hidden="false" customHeight="true" outlineLevel="0" collapsed="false">
      <c r="A40" s="19"/>
      <c r="B40" s="19"/>
      <c r="C40" s="19"/>
      <c r="D40" s="19"/>
      <c r="F40" s="21" t="n">
        <f aca="false">IF(Data!$H29="usa",Data!$A29,"")</f>
        <v>10</v>
      </c>
      <c r="G40" s="1" t="str">
        <f aca="false">IF(Data!$H29="japan",Data!$A29,"")</f>
        <v/>
      </c>
      <c r="H40" s="1" t="str">
        <f aca="false">IF(Data!$H29="europe",Data!$A29,"")</f>
        <v/>
      </c>
    </row>
    <row r="41" customFormat="false" ht="15" hidden="false" customHeight="true" outlineLevel="0" collapsed="false">
      <c r="A41" s="19"/>
      <c r="B41" s="19"/>
      <c r="C41" s="19"/>
      <c r="D41" s="19"/>
      <c r="F41" s="21" t="n">
        <f aca="false">IF(Data!$H30="usa",Data!$A30,"")</f>
        <v>11</v>
      </c>
      <c r="G41" s="1" t="str">
        <f aca="false">IF(Data!$H30="japan",Data!$A30,"")</f>
        <v/>
      </c>
      <c r="H41" s="1" t="str">
        <f aca="false">IF(Data!$H30="europe",Data!$A30,"")</f>
        <v/>
      </c>
    </row>
    <row r="42" customFormat="false" ht="15" hidden="false" customHeight="true" outlineLevel="0" collapsed="false">
      <c r="A42" s="19"/>
      <c r="B42" s="19"/>
      <c r="C42" s="19"/>
      <c r="D42" s="19"/>
      <c r="F42" s="21" t="n">
        <f aca="false">IF(Data!$H31="usa",Data!$A31,"")</f>
        <v>9</v>
      </c>
      <c r="G42" s="1" t="str">
        <f aca="false">IF(Data!$H31="japan",Data!$A31,"")</f>
        <v/>
      </c>
      <c r="H42" s="1" t="str">
        <f aca="false">IF(Data!$H31="europe",Data!$A31,"")</f>
        <v/>
      </c>
    </row>
    <row r="43" customFormat="false" ht="15" hidden="false" customHeight="true" outlineLevel="0" collapsed="false">
      <c r="F43" s="1" t="str">
        <f aca="false">IF(Data!$H32="usa",Data!$A32,"")</f>
        <v/>
      </c>
      <c r="G43" s="21" t="n">
        <f aca="false">IF(Data!$H32="japan",Data!$A32,"")</f>
        <v>27</v>
      </c>
      <c r="H43" s="1" t="str">
        <f aca="false">IF(Data!$H32="europe",Data!$A32,"")</f>
        <v/>
      </c>
    </row>
    <row r="44" customFormat="false" ht="15" hidden="false" customHeight="true" outlineLevel="0" collapsed="false">
      <c r="F44" s="21" t="n">
        <f aca="false">IF(Data!$H33="usa",Data!$A33,"")</f>
        <v>28</v>
      </c>
      <c r="G44" s="1" t="str">
        <f aca="false">IF(Data!$H33="japan",Data!$A33,"")</f>
        <v/>
      </c>
      <c r="H44" s="1" t="str">
        <f aca="false">IF(Data!$H33="europe",Data!$A33,"")</f>
        <v/>
      </c>
    </row>
    <row r="45" customFormat="false" ht="15" hidden="false" customHeight="true" outlineLevel="0" collapsed="false">
      <c r="F45" s="1" t="str">
        <f aca="false">IF(Data!$H34="usa",Data!$A34,"")</f>
        <v/>
      </c>
      <c r="G45" s="21" t="n">
        <f aca="false">IF(Data!$H34="japan",Data!$A34,"")</f>
        <v>25</v>
      </c>
      <c r="H45" s="1" t="str">
        <f aca="false">IF(Data!$H34="europe",Data!$A34,"")</f>
        <v/>
      </c>
    </row>
    <row r="46" customFormat="false" ht="15" hidden="false" customHeight="true" outlineLevel="0" collapsed="false">
      <c r="F46" s="21" t="n">
        <f aca="false">IF(Data!$H35="usa",Data!$A35,"")</f>
        <v>25</v>
      </c>
      <c r="G46" s="1" t="str">
        <f aca="false">IF(Data!$H35="japan",Data!$A35,"")</f>
        <v/>
      </c>
      <c r="H46" s="1" t="str">
        <f aca="false">IF(Data!$H35="europe",Data!$A35,"")</f>
        <v/>
      </c>
    </row>
    <row r="47" customFormat="false" ht="15" hidden="false" customHeight="true" outlineLevel="0" collapsed="false">
      <c r="F47" s="21" t="n">
        <f aca="false">IF(Data!$H36="usa",Data!$A36,"")</f>
        <v>19</v>
      </c>
      <c r="G47" s="1" t="str">
        <f aca="false">IF(Data!$H36="japan",Data!$A36,"")</f>
        <v/>
      </c>
      <c r="H47" s="1" t="str">
        <f aca="false">IF(Data!$H36="europe",Data!$A36,"")</f>
        <v/>
      </c>
    </row>
    <row r="48" customFormat="false" ht="15" hidden="false" customHeight="true" outlineLevel="0" collapsed="false">
      <c r="F48" s="21" t="n">
        <f aca="false">IF(Data!$H37="usa",Data!$A37,"")</f>
        <v>16</v>
      </c>
      <c r="G48" s="1" t="str">
        <f aca="false">IF(Data!$H37="japan",Data!$A37,"")</f>
        <v/>
      </c>
      <c r="H48" s="1" t="str">
        <f aca="false">IF(Data!$H37="europe",Data!$A37,"")</f>
        <v/>
      </c>
    </row>
    <row r="49" customFormat="false" ht="15" hidden="false" customHeight="true" outlineLevel="0" collapsed="false">
      <c r="F49" s="21" t="n">
        <f aca="false">IF(Data!$H38="usa",Data!$A38,"")</f>
        <v>17</v>
      </c>
      <c r="G49" s="1" t="str">
        <f aca="false">IF(Data!$H38="japan",Data!$A38,"")</f>
        <v/>
      </c>
      <c r="H49" s="1" t="str">
        <f aca="false">IF(Data!$H38="europe",Data!$A38,"")</f>
        <v/>
      </c>
    </row>
    <row r="50" customFormat="false" ht="15" hidden="false" customHeight="true" outlineLevel="0" collapsed="false">
      <c r="F50" s="21" t="n">
        <f aca="false">IF(Data!$H39="usa",Data!$A39,"")</f>
        <v>19</v>
      </c>
      <c r="G50" s="1" t="str">
        <f aca="false">IF(Data!$H39="japan",Data!$A39,"")</f>
        <v/>
      </c>
      <c r="H50" s="1" t="str">
        <f aca="false">IF(Data!$H39="europe",Data!$A39,"")</f>
        <v/>
      </c>
    </row>
    <row r="51" customFormat="false" ht="15" hidden="false" customHeight="true" outlineLevel="0" collapsed="false">
      <c r="F51" s="21" t="n">
        <f aca="false">IF(Data!$H40="usa",Data!$A40,"")</f>
        <v>18</v>
      </c>
      <c r="G51" s="1" t="str">
        <f aca="false">IF(Data!$H40="japan",Data!$A40,"")</f>
        <v/>
      </c>
      <c r="H51" s="1" t="str">
        <f aca="false">IF(Data!$H40="europe",Data!$A40,"")</f>
        <v/>
      </c>
    </row>
    <row r="52" customFormat="false" ht="15" hidden="false" customHeight="true" outlineLevel="0" collapsed="false">
      <c r="F52" s="21" t="n">
        <f aca="false">IF(Data!$H41="usa",Data!$A41,"")</f>
        <v>14</v>
      </c>
      <c r="G52" s="1" t="str">
        <f aca="false">IF(Data!$H41="japan",Data!$A41,"")</f>
        <v/>
      </c>
      <c r="H52" s="1" t="str">
        <f aca="false">IF(Data!$H41="europe",Data!$A41,"")</f>
        <v/>
      </c>
    </row>
    <row r="53" customFormat="false" ht="15" hidden="false" customHeight="true" outlineLevel="0" collapsed="false">
      <c r="F53" s="21" t="n">
        <f aca="false">IF(Data!$H42="usa",Data!$A42,"")</f>
        <v>14</v>
      </c>
      <c r="G53" s="1" t="str">
        <f aca="false">IF(Data!$H42="japan",Data!$A42,"")</f>
        <v/>
      </c>
      <c r="H53" s="1" t="str">
        <f aca="false">IF(Data!$H42="europe",Data!$A42,"")</f>
        <v/>
      </c>
    </row>
    <row r="54" customFormat="false" ht="15" hidden="false" customHeight="true" outlineLevel="0" collapsed="false">
      <c r="F54" s="21" t="n">
        <f aca="false">IF(Data!$H43="usa",Data!$A43,"")</f>
        <v>14</v>
      </c>
      <c r="G54" s="1" t="str">
        <f aca="false">IF(Data!$H43="japan",Data!$A43,"")</f>
        <v/>
      </c>
      <c r="H54" s="1" t="str">
        <f aca="false">IF(Data!$H43="europe",Data!$A43,"")</f>
        <v/>
      </c>
    </row>
    <row r="55" customFormat="false" ht="15" hidden="false" customHeight="true" outlineLevel="0" collapsed="false">
      <c r="F55" s="21" t="n">
        <f aca="false">IF(Data!$H44="usa",Data!$A44,"")</f>
        <v>14</v>
      </c>
      <c r="G55" s="1" t="str">
        <f aca="false">IF(Data!$H44="japan",Data!$A44,"")</f>
        <v/>
      </c>
      <c r="H55" s="1" t="str">
        <f aca="false">IF(Data!$H44="europe",Data!$A44,"")</f>
        <v/>
      </c>
    </row>
    <row r="56" customFormat="false" ht="15" hidden="false" customHeight="true" outlineLevel="0" collapsed="false">
      <c r="F56" s="21" t="n">
        <f aca="false">IF(Data!$H45="usa",Data!$A45,"")</f>
        <v>12</v>
      </c>
      <c r="G56" s="1" t="str">
        <f aca="false">IF(Data!$H45="japan",Data!$A45,"")</f>
        <v/>
      </c>
      <c r="H56" s="1" t="str">
        <f aca="false">IF(Data!$H45="europe",Data!$A45,"")</f>
        <v/>
      </c>
    </row>
    <row r="57" customFormat="false" ht="15" hidden="false" customHeight="true" outlineLevel="0" collapsed="false">
      <c r="F57" s="21" t="n">
        <f aca="false">IF(Data!$H46="usa",Data!$A46,"")</f>
        <v>13</v>
      </c>
      <c r="G57" s="1" t="str">
        <f aca="false">IF(Data!$H46="japan",Data!$A46,"")</f>
        <v/>
      </c>
      <c r="H57" s="1" t="str">
        <f aca="false">IF(Data!$H46="europe",Data!$A46,"")</f>
        <v/>
      </c>
    </row>
    <row r="58" customFormat="false" ht="15" hidden="false" customHeight="true" outlineLevel="0" collapsed="false">
      <c r="F58" s="21" t="n">
        <f aca="false">IF(Data!$H47="usa",Data!$A47,"")</f>
        <v>13</v>
      </c>
      <c r="G58" s="1" t="str">
        <f aca="false">IF(Data!$H47="japan",Data!$A47,"")</f>
        <v/>
      </c>
      <c r="H58" s="1" t="str">
        <f aca="false">IF(Data!$H47="europe",Data!$A47,"")</f>
        <v/>
      </c>
    </row>
    <row r="59" customFormat="false" ht="15" hidden="false" customHeight="true" outlineLevel="0" collapsed="false">
      <c r="F59" s="21" t="n">
        <f aca="false">IF(Data!$H48="usa",Data!$A48,"")</f>
        <v>18</v>
      </c>
      <c r="G59" s="1" t="str">
        <f aca="false">IF(Data!$H48="japan",Data!$A48,"")</f>
        <v/>
      </c>
      <c r="H59" s="1" t="str">
        <f aca="false">IF(Data!$H48="europe",Data!$A48,"")</f>
        <v/>
      </c>
    </row>
    <row r="60" customFormat="false" ht="15" hidden="false" customHeight="true" outlineLevel="0" collapsed="false">
      <c r="F60" s="21" t="n">
        <f aca="false">IF(Data!$H49="usa",Data!$A49,"")</f>
        <v>22</v>
      </c>
      <c r="G60" s="1" t="str">
        <f aca="false">IF(Data!$H49="japan",Data!$A49,"")</f>
        <v/>
      </c>
      <c r="H60" s="1" t="str">
        <f aca="false">IF(Data!$H49="europe",Data!$A49,"")</f>
        <v/>
      </c>
    </row>
    <row r="61" customFormat="false" ht="15" hidden="false" customHeight="true" outlineLevel="0" collapsed="false">
      <c r="F61" s="21" t="n">
        <f aca="false">IF(Data!$H50="usa",Data!$A50,"")</f>
        <v>19</v>
      </c>
      <c r="G61" s="1" t="str">
        <f aca="false">IF(Data!$H50="japan",Data!$A50,"")</f>
        <v/>
      </c>
      <c r="H61" s="1" t="str">
        <f aca="false">IF(Data!$H50="europe",Data!$A50,"")</f>
        <v/>
      </c>
    </row>
    <row r="62" customFormat="false" ht="15" hidden="false" customHeight="true" outlineLevel="0" collapsed="false">
      <c r="F62" s="21" t="n">
        <f aca="false">IF(Data!$H51="usa",Data!$A51,"")</f>
        <v>18</v>
      </c>
      <c r="G62" s="1" t="str">
        <f aca="false">IF(Data!$H51="japan",Data!$A51,"")</f>
        <v/>
      </c>
      <c r="H62" s="1" t="str">
        <f aca="false">IF(Data!$H51="europe",Data!$A51,"")</f>
        <v/>
      </c>
    </row>
    <row r="63" customFormat="false" ht="15" hidden="false" customHeight="true" outlineLevel="0" collapsed="false">
      <c r="F63" s="21" t="n">
        <f aca="false">IF(Data!$H52="usa",Data!$A52,"")</f>
        <v>23</v>
      </c>
      <c r="G63" s="1" t="str">
        <f aca="false">IF(Data!$H52="japan",Data!$A52,"")</f>
        <v/>
      </c>
      <c r="H63" s="1" t="str">
        <f aca="false">IF(Data!$H52="europe",Data!$A52,"")</f>
        <v/>
      </c>
    </row>
    <row r="64" customFormat="false" ht="15" hidden="false" customHeight="true" outlineLevel="0" collapsed="false">
      <c r="F64" s="1" t="str">
        <f aca="false">IF(Data!$H53="usa",Data!$A53,"")</f>
        <v/>
      </c>
      <c r="G64" s="1" t="str">
        <f aca="false">IF(Data!$H53="japan",Data!$A53,"")</f>
        <v/>
      </c>
      <c r="H64" s="21" t="n">
        <f aca="false">IF(Data!$H53="europe",Data!$A53,"")</f>
        <v>28</v>
      </c>
    </row>
    <row r="65" customFormat="false" ht="15" hidden="false" customHeight="true" outlineLevel="0" collapsed="false">
      <c r="F65" s="1" t="str">
        <f aca="false">IF(Data!$H54="usa",Data!$A54,"")</f>
        <v/>
      </c>
      <c r="G65" s="1" t="str">
        <f aca="false">IF(Data!$H54="japan",Data!$A54,"")</f>
        <v/>
      </c>
      <c r="H65" s="21" t="n">
        <f aca="false">IF(Data!$H54="europe",Data!$A54,"")</f>
        <v>30</v>
      </c>
    </row>
    <row r="66" customFormat="false" ht="15" hidden="false" customHeight="true" outlineLevel="0" collapsed="false">
      <c r="F66" s="1" t="str">
        <f aca="false">IF(Data!$H55="usa",Data!$A55,"")</f>
        <v/>
      </c>
      <c r="G66" s="1" t="str">
        <f aca="false">IF(Data!$H55="japan",Data!$A55,"")</f>
        <v/>
      </c>
      <c r="H66" s="21" t="n">
        <f aca="false">IF(Data!$H55="europe",Data!$A55,"")</f>
        <v>30</v>
      </c>
    </row>
    <row r="67" customFormat="false" ht="15" hidden="false" customHeight="true" outlineLevel="0" collapsed="false">
      <c r="F67" s="1" t="str">
        <f aca="false">IF(Data!$H56="usa",Data!$A56,"")</f>
        <v/>
      </c>
      <c r="G67" s="21" t="n">
        <f aca="false">IF(Data!$H56="japan",Data!$A56,"")</f>
        <v>31</v>
      </c>
      <c r="H67" s="1" t="str">
        <f aca="false">IF(Data!$H56="europe",Data!$A56,"")</f>
        <v/>
      </c>
    </row>
    <row r="68" customFormat="false" ht="15" hidden="false" customHeight="true" outlineLevel="0" collapsed="false">
      <c r="F68" s="1" t="str">
        <f aca="false">IF(Data!$H57="usa",Data!$A57,"")</f>
        <v/>
      </c>
      <c r="G68" s="21" t="n">
        <f aca="false">IF(Data!$H57="japan",Data!$A57,"")</f>
        <v>35</v>
      </c>
      <c r="H68" s="1" t="str">
        <f aca="false">IF(Data!$H57="europe",Data!$A57,"")</f>
        <v/>
      </c>
    </row>
    <row r="69" customFormat="false" ht="15" hidden="false" customHeight="true" outlineLevel="0" collapsed="false">
      <c r="F69" s="1" t="str">
        <f aca="false">IF(Data!$H58="usa",Data!$A58,"")</f>
        <v/>
      </c>
      <c r="G69" s="1" t="str">
        <f aca="false">IF(Data!$H58="japan",Data!$A58,"")</f>
        <v/>
      </c>
      <c r="H69" s="21" t="n">
        <f aca="false">IF(Data!$H58="europe",Data!$A58,"")</f>
        <v>27</v>
      </c>
    </row>
    <row r="70" customFormat="false" ht="15" hidden="false" customHeight="true" outlineLevel="0" collapsed="false">
      <c r="F70" s="21" t="n">
        <f aca="false">IF(Data!$H59="usa",Data!$A59,"")</f>
        <v>26</v>
      </c>
      <c r="G70" s="1" t="str">
        <f aca="false">IF(Data!$H59="japan",Data!$A59,"")</f>
        <v/>
      </c>
      <c r="H70" s="1" t="str">
        <f aca="false">IF(Data!$H59="europe",Data!$A59,"")</f>
        <v/>
      </c>
    </row>
    <row r="71" customFormat="false" ht="15" hidden="false" customHeight="true" outlineLevel="0" collapsed="false">
      <c r="F71" s="1" t="str">
        <f aca="false">IF(Data!$H60="usa",Data!$A60,"")</f>
        <v/>
      </c>
      <c r="G71" s="21" t="n">
        <f aca="false">IF(Data!$H60="japan",Data!$A60,"")</f>
        <v>24</v>
      </c>
      <c r="H71" s="1" t="str">
        <f aca="false">IF(Data!$H60="europe",Data!$A60,"")</f>
        <v/>
      </c>
    </row>
    <row r="72" customFormat="false" ht="15" hidden="false" customHeight="true" outlineLevel="0" collapsed="false">
      <c r="F72" s="21" t="n">
        <f aca="false">IF(Data!$H61="usa",Data!$A61,"")</f>
        <v>25</v>
      </c>
      <c r="G72" s="1" t="str">
        <f aca="false">IF(Data!$H61="japan",Data!$A61,"")</f>
        <v/>
      </c>
      <c r="H72" s="1" t="str">
        <f aca="false">IF(Data!$H61="europe",Data!$A61,"")</f>
        <v/>
      </c>
    </row>
    <row r="73" customFormat="false" ht="15" hidden="false" customHeight="true" outlineLevel="0" collapsed="false">
      <c r="F73" s="1" t="str">
        <f aca="false">IF(Data!$H62="usa",Data!$A62,"")</f>
        <v/>
      </c>
      <c r="G73" s="1" t="str">
        <f aca="false">IF(Data!$H62="japan",Data!$A62,"")</f>
        <v/>
      </c>
      <c r="H73" s="21" t="n">
        <f aca="false">IF(Data!$H62="europe",Data!$A62,"")</f>
        <v>23</v>
      </c>
    </row>
    <row r="74" customFormat="false" ht="15" hidden="false" customHeight="true" outlineLevel="0" collapsed="false">
      <c r="F74" s="21" t="n">
        <f aca="false">IF(Data!$H63="usa",Data!$A63,"")</f>
        <v>20</v>
      </c>
      <c r="G74" s="1" t="str">
        <f aca="false">IF(Data!$H63="japan",Data!$A63,"")</f>
        <v/>
      </c>
      <c r="H74" s="1" t="str">
        <f aca="false">IF(Data!$H63="europe",Data!$A63,"")</f>
        <v/>
      </c>
    </row>
    <row r="75" customFormat="false" ht="15" hidden="false" customHeight="true" outlineLevel="0" collapsed="false">
      <c r="F75" s="21" t="n">
        <f aca="false">IF(Data!$H64="usa",Data!$A64,"")</f>
        <v>21</v>
      </c>
      <c r="G75" s="1" t="str">
        <f aca="false">IF(Data!$H64="japan",Data!$A64,"")</f>
        <v/>
      </c>
      <c r="H75" s="1" t="str">
        <f aca="false">IF(Data!$H64="europe",Data!$A64,"")</f>
        <v/>
      </c>
    </row>
    <row r="76" customFormat="false" ht="15" hidden="false" customHeight="true" outlineLevel="0" collapsed="false">
      <c r="F76" s="21" t="n">
        <f aca="false">IF(Data!$H65="usa",Data!$A65,"")</f>
        <v>13</v>
      </c>
      <c r="G76" s="1" t="str">
        <f aca="false">IF(Data!$H65="japan",Data!$A65,"")</f>
        <v/>
      </c>
      <c r="H76" s="1" t="str">
        <f aca="false">IF(Data!$H65="europe",Data!$A65,"")</f>
        <v/>
      </c>
    </row>
    <row r="77" customFormat="false" ht="15" hidden="false" customHeight="true" outlineLevel="0" collapsed="false">
      <c r="F77" s="21" t="n">
        <f aca="false">IF(Data!$H66="usa",Data!$A66,"")</f>
        <v>14</v>
      </c>
      <c r="G77" s="1" t="str">
        <f aca="false">IF(Data!$H66="japan",Data!$A66,"")</f>
        <v/>
      </c>
      <c r="H77" s="1" t="str">
        <f aca="false">IF(Data!$H66="europe",Data!$A66,"")</f>
        <v/>
      </c>
    </row>
    <row r="78" customFormat="false" ht="15" hidden="false" customHeight="true" outlineLevel="0" collapsed="false">
      <c r="F78" s="21" t="n">
        <f aca="false">IF(Data!$H67="usa",Data!$A67,"")</f>
        <v>15</v>
      </c>
      <c r="G78" s="1" t="str">
        <f aca="false">IF(Data!$H67="japan",Data!$A67,"")</f>
        <v/>
      </c>
      <c r="H78" s="1" t="str">
        <f aca="false">IF(Data!$H67="europe",Data!$A67,"")</f>
        <v/>
      </c>
    </row>
    <row r="79" customFormat="false" ht="15" hidden="false" customHeight="true" outlineLevel="0" collapsed="false">
      <c r="F79" s="21" t="n">
        <f aca="false">IF(Data!$H68="usa",Data!$A68,"")</f>
        <v>14</v>
      </c>
      <c r="G79" s="1" t="str">
        <f aca="false">IF(Data!$H68="japan",Data!$A68,"")</f>
        <v/>
      </c>
      <c r="H79" s="1" t="str">
        <f aca="false">IF(Data!$H68="europe",Data!$A68,"")</f>
        <v/>
      </c>
    </row>
    <row r="80" customFormat="false" ht="15" hidden="false" customHeight="true" outlineLevel="0" collapsed="false">
      <c r="F80" s="21" t="n">
        <f aca="false">IF(Data!$H69="usa",Data!$A69,"")</f>
        <v>17</v>
      </c>
      <c r="G80" s="1" t="str">
        <f aca="false">IF(Data!$H69="japan",Data!$A69,"")</f>
        <v/>
      </c>
      <c r="H80" s="1" t="str">
        <f aca="false">IF(Data!$H69="europe",Data!$A69,"")</f>
        <v/>
      </c>
    </row>
    <row r="81" customFormat="false" ht="15" hidden="false" customHeight="true" outlineLevel="0" collapsed="false">
      <c r="F81" s="21" t="n">
        <f aca="false">IF(Data!$H70="usa",Data!$A70,"")</f>
        <v>11</v>
      </c>
      <c r="G81" s="1" t="str">
        <f aca="false">IF(Data!$H70="japan",Data!$A70,"")</f>
        <v/>
      </c>
      <c r="H81" s="1" t="str">
        <f aca="false">IF(Data!$H70="europe",Data!$A70,"")</f>
        <v/>
      </c>
    </row>
    <row r="82" customFormat="false" ht="15" hidden="false" customHeight="true" outlineLevel="0" collapsed="false">
      <c r="F82" s="21" t="n">
        <f aca="false">IF(Data!$H71="usa",Data!$A71,"")</f>
        <v>13</v>
      </c>
      <c r="G82" s="1" t="str">
        <f aca="false">IF(Data!$H71="japan",Data!$A71,"")</f>
        <v/>
      </c>
      <c r="H82" s="1" t="str">
        <f aca="false">IF(Data!$H71="europe",Data!$A71,"")</f>
        <v/>
      </c>
    </row>
    <row r="83" customFormat="false" ht="15" hidden="false" customHeight="true" outlineLevel="0" collapsed="false">
      <c r="F83" s="21" t="n">
        <f aca="false">IF(Data!$H72="usa",Data!$A72,"")</f>
        <v>12</v>
      </c>
      <c r="G83" s="1" t="str">
        <f aca="false">IF(Data!$H72="japan",Data!$A72,"")</f>
        <v/>
      </c>
      <c r="H83" s="1" t="str">
        <f aca="false">IF(Data!$H72="europe",Data!$A72,"")</f>
        <v/>
      </c>
    </row>
    <row r="84" customFormat="false" ht="15" hidden="false" customHeight="true" outlineLevel="0" collapsed="false">
      <c r="F84" s="21" t="n">
        <f aca="false">IF(Data!$H73="usa",Data!$A73,"")</f>
        <v>13</v>
      </c>
      <c r="G84" s="1" t="str">
        <f aca="false">IF(Data!$H73="japan",Data!$A73,"")</f>
        <v/>
      </c>
      <c r="H84" s="1" t="str">
        <f aca="false">IF(Data!$H73="europe",Data!$A73,"")</f>
        <v/>
      </c>
    </row>
    <row r="85" customFormat="false" ht="15" hidden="false" customHeight="true" outlineLevel="0" collapsed="false">
      <c r="F85" s="1" t="str">
        <f aca="false">IF(Data!$H74="usa",Data!$A74,"")</f>
        <v/>
      </c>
      <c r="G85" s="21" t="n">
        <f aca="false">IF(Data!$H74="japan",Data!$A74,"")</f>
        <v>19</v>
      </c>
      <c r="H85" s="1" t="str">
        <f aca="false">IF(Data!$H74="europe",Data!$A74,"")</f>
        <v/>
      </c>
    </row>
    <row r="86" customFormat="false" ht="15" hidden="false" customHeight="true" outlineLevel="0" collapsed="false">
      <c r="F86" s="21" t="n">
        <f aca="false">IF(Data!$H75="usa",Data!$A75,"")</f>
        <v>15</v>
      </c>
      <c r="G86" s="1" t="str">
        <f aca="false">IF(Data!$H75="japan",Data!$A75,"")</f>
        <v/>
      </c>
      <c r="H86" s="1" t="str">
        <f aca="false">IF(Data!$H75="europe",Data!$A75,"")</f>
        <v/>
      </c>
    </row>
    <row r="87" customFormat="false" ht="15" hidden="false" customHeight="true" outlineLevel="0" collapsed="false">
      <c r="F87" s="21" t="n">
        <f aca="false">IF(Data!$H76="usa",Data!$A76,"")</f>
        <v>13</v>
      </c>
      <c r="G87" s="1" t="str">
        <f aca="false">IF(Data!$H76="japan",Data!$A76,"")</f>
        <v/>
      </c>
      <c r="H87" s="1" t="str">
        <f aca="false">IF(Data!$H76="europe",Data!$A76,"")</f>
        <v/>
      </c>
    </row>
    <row r="88" customFormat="false" ht="15" hidden="false" customHeight="true" outlineLevel="0" collapsed="false">
      <c r="F88" s="21" t="n">
        <f aca="false">IF(Data!$H77="usa",Data!$A77,"")</f>
        <v>13</v>
      </c>
      <c r="G88" s="1" t="str">
        <f aca="false">IF(Data!$H77="japan",Data!$A77,"")</f>
        <v/>
      </c>
      <c r="H88" s="1" t="str">
        <f aca="false">IF(Data!$H77="europe",Data!$A77,"")</f>
        <v/>
      </c>
    </row>
    <row r="89" customFormat="false" ht="15" hidden="false" customHeight="true" outlineLevel="0" collapsed="false">
      <c r="F89" s="21" t="n">
        <f aca="false">IF(Data!$H78="usa",Data!$A78,"")</f>
        <v>14</v>
      </c>
      <c r="G89" s="1" t="str">
        <f aca="false">IF(Data!$H78="japan",Data!$A78,"")</f>
        <v/>
      </c>
      <c r="H89" s="1" t="str">
        <f aca="false">IF(Data!$H78="europe",Data!$A78,"")</f>
        <v/>
      </c>
    </row>
    <row r="90" customFormat="false" ht="15" hidden="false" customHeight="true" outlineLevel="0" collapsed="false">
      <c r="F90" s="1" t="str">
        <f aca="false">IF(Data!$H79="usa",Data!$A79,"")</f>
        <v/>
      </c>
      <c r="G90" s="1" t="str">
        <f aca="false">IF(Data!$H79="japan",Data!$A79,"")</f>
        <v/>
      </c>
      <c r="H90" s="21" t="n">
        <f aca="false">IF(Data!$H79="europe",Data!$A79,"")</f>
        <v>18</v>
      </c>
    </row>
    <row r="91" customFormat="false" ht="15" hidden="false" customHeight="true" outlineLevel="0" collapsed="false">
      <c r="F91" s="1" t="str">
        <f aca="false">IF(Data!$H80="usa",Data!$A80,"")</f>
        <v/>
      </c>
      <c r="G91" s="1" t="str">
        <f aca="false">IF(Data!$H80="japan",Data!$A80,"")</f>
        <v/>
      </c>
      <c r="H91" s="21" t="n">
        <f aca="false">IF(Data!$H80="europe",Data!$A80,"")</f>
        <v>22</v>
      </c>
    </row>
    <row r="92" customFormat="false" ht="15" hidden="false" customHeight="true" outlineLevel="0" collapsed="false">
      <c r="F92" s="1" t="str">
        <f aca="false">IF(Data!$H81="usa",Data!$A81,"")</f>
        <v/>
      </c>
      <c r="G92" s="1" t="str">
        <f aca="false">IF(Data!$H81="japan",Data!$A81,"")</f>
        <v/>
      </c>
      <c r="H92" s="21" t="n">
        <f aca="false">IF(Data!$H81="europe",Data!$A81,"")</f>
        <v>21</v>
      </c>
    </row>
    <row r="93" customFormat="false" ht="15" hidden="false" customHeight="true" outlineLevel="0" collapsed="false">
      <c r="F93" s="1" t="str">
        <f aca="false">IF(Data!$H82="usa",Data!$A82,"")</f>
        <v/>
      </c>
      <c r="G93" s="1" t="str">
        <f aca="false">IF(Data!$H82="japan",Data!$A82,"")</f>
        <v/>
      </c>
      <c r="H93" s="21" t="n">
        <f aca="false">IF(Data!$H82="europe",Data!$A82,"")</f>
        <v>26</v>
      </c>
    </row>
    <row r="94" customFormat="false" ht="15" hidden="false" customHeight="true" outlineLevel="0" collapsed="false">
      <c r="F94" s="21" t="n">
        <f aca="false">IF(Data!$H83="usa",Data!$A83,"")</f>
        <v>22</v>
      </c>
      <c r="G94" s="1" t="str">
        <f aca="false">IF(Data!$H83="japan",Data!$A83,"")</f>
        <v/>
      </c>
      <c r="H94" s="1" t="str">
        <f aca="false">IF(Data!$H83="europe",Data!$A83,"")</f>
        <v/>
      </c>
    </row>
    <row r="95" customFormat="false" ht="15" hidden="false" customHeight="true" outlineLevel="0" collapsed="false">
      <c r="F95" s="1" t="str">
        <f aca="false">IF(Data!$H84="usa",Data!$A84,"")</f>
        <v/>
      </c>
      <c r="G95" s="21" t="n">
        <f aca="false">IF(Data!$H84="japan",Data!$A84,"")</f>
        <v>28</v>
      </c>
      <c r="H95" s="1" t="str">
        <f aca="false">IF(Data!$H84="europe",Data!$A84,"")</f>
        <v/>
      </c>
    </row>
    <row r="96" customFormat="false" ht="15" hidden="false" customHeight="true" outlineLevel="0" collapsed="false">
      <c r="F96" s="1" t="str">
        <f aca="false">IF(Data!$H85="usa",Data!$A85,"")</f>
        <v/>
      </c>
      <c r="G96" s="21" t="n">
        <f aca="false">IF(Data!$H85="japan",Data!$A85,"")</f>
        <v>23</v>
      </c>
      <c r="H96" s="1" t="str">
        <f aca="false">IF(Data!$H85="europe",Data!$A85,"")</f>
        <v/>
      </c>
    </row>
    <row r="97" customFormat="false" ht="15" hidden="false" customHeight="true" outlineLevel="0" collapsed="false">
      <c r="F97" s="21" t="n">
        <f aca="false">IF(Data!$H86="usa",Data!$A86,"")</f>
        <v>28</v>
      </c>
      <c r="G97" s="1" t="str">
        <f aca="false">IF(Data!$H86="japan",Data!$A86,"")</f>
        <v/>
      </c>
      <c r="H97" s="1" t="str">
        <f aca="false">IF(Data!$H86="europe",Data!$A86,"")</f>
        <v/>
      </c>
    </row>
    <row r="98" customFormat="false" ht="15" hidden="false" customHeight="true" outlineLevel="0" collapsed="false">
      <c r="F98" s="1" t="str">
        <f aca="false">IF(Data!$H87="usa",Data!$A87,"")</f>
        <v/>
      </c>
      <c r="G98" s="21" t="n">
        <f aca="false">IF(Data!$H87="japan",Data!$A87,"")</f>
        <v>27</v>
      </c>
      <c r="H98" s="1" t="str">
        <f aca="false">IF(Data!$H87="europe",Data!$A87,"")</f>
        <v/>
      </c>
    </row>
    <row r="99" customFormat="false" ht="15" hidden="false" customHeight="true" outlineLevel="0" collapsed="false">
      <c r="F99" s="21" t="n">
        <f aca="false">IF(Data!$H88="usa",Data!$A88,"")</f>
        <v>13</v>
      </c>
      <c r="G99" s="1" t="str">
        <f aca="false">IF(Data!$H88="japan",Data!$A88,"")</f>
        <v/>
      </c>
      <c r="H99" s="1" t="str">
        <f aca="false">IF(Data!$H88="europe",Data!$A88,"")</f>
        <v/>
      </c>
    </row>
    <row r="100" customFormat="false" ht="15" hidden="false" customHeight="true" outlineLevel="0" collapsed="false">
      <c r="F100" s="21" t="n">
        <f aca="false">IF(Data!$H89="usa",Data!$A89,"")</f>
        <v>14</v>
      </c>
      <c r="G100" s="1" t="str">
        <f aca="false">IF(Data!$H89="japan",Data!$A89,"")</f>
        <v/>
      </c>
      <c r="H100" s="1" t="str">
        <f aca="false">IF(Data!$H89="europe",Data!$A89,"")</f>
        <v/>
      </c>
    </row>
    <row r="101" customFormat="false" ht="15" hidden="false" customHeight="true" outlineLevel="0" collapsed="false">
      <c r="F101" s="21" t="n">
        <f aca="false">IF(Data!$H90="usa",Data!$A90,"")</f>
        <v>13</v>
      </c>
      <c r="G101" s="1" t="str">
        <f aca="false">IF(Data!$H90="japan",Data!$A90,"")</f>
        <v/>
      </c>
      <c r="H101" s="1" t="str">
        <f aca="false">IF(Data!$H90="europe",Data!$A90,"")</f>
        <v/>
      </c>
    </row>
    <row r="102" customFormat="false" ht="15" hidden="false" customHeight="true" outlineLevel="0" collapsed="false">
      <c r="F102" s="21" t="n">
        <f aca="false">IF(Data!$H91="usa",Data!$A91,"")</f>
        <v>14</v>
      </c>
      <c r="G102" s="1" t="str">
        <f aca="false">IF(Data!$H91="japan",Data!$A91,"")</f>
        <v/>
      </c>
      <c r="H102" s="1" t="str">
        <f aca="false">IF(Data!$H91="europe",Data!$A91,"")</f>
        <v/>
      </c>
    </row>
    <row r="103" customFormat="false" ht="15" hidden="false" customHeight="true" outlineLevel="0" collapsed="false">
      <c r="F103" s="21" t="n">
        <f aca="false">IF(Data!$H92="usa",Data!$A92,"")</f>
        <v>15</v>
      </c>
      <c r="G103" s="1" t="str">
        <f aca="false">IF(Data!$H92="japan",Data!$A92,"")</f>
        <v/>
      </c>
      <c r="H103" s="1" t="str">
        <f aca="false">IF(Data!$H92="europe",Data!$A92,"")</f>
        <v/>
      </c>
    </row>
    <row r="104" customFormat="false" ht="15" hidden="false" customHeight="true" outlineLevel="0" collapsed="false">
      <c r="F104" s="21" t="n">
        <f aca="false">IF(Data!$H93="usa",Data!$A93,"")</f>
        <v>12</v>
      </c>
      <c r="G104" s="1" t="str">
        <f aca="false">IF(Data!$H93="japan",Data!$A93,"")</f>
        <v/>
      </c>
      <c r="H104" s="1" t="str">
        <f aca="false">IF(Data!$H93="europe",Data!$A93,"")</f>
        <v/>
      </c>
    </row>
    <row r="105" customFormat="false" ht="15" hidden="false" customHeight="true" outlineLevel="0" collapsed="false">
      <c r="F105" s="21" t="n">
        <f aca="false">IF(Data!$H94="usa",Data!$A94,"")</f>
        <v>13</v>
      </c>
      <c r="G105" s="1" t="str">
        <f aca="false">IF(Data!$H94="japan",Data!$A94,"")</f>
        <v/>
      </c>
      <c r="H105" s="1" t="str">
        <f aca="false">IF(Data!$H94="europe",Data!$A94,"")</f>
        <v/>
      </c>
    </row>
    <row r="106" customFormat="false" ht="15" hidden="false" customHeight="true" outlineLevel="0" collapsed="false">
      <c r="F106" s="21" t="n">
        <f aca="false">IF(Data!$H95="usa",Data!$A95,"")</f>
        <v>13</v>
      </c>
      <c r="G106" s="1" t="str">
        <f aca="false">IF(Data!$H95="japan",Data!$A95,"")</f>
        <v/>
      </c>
      <c r="H106" s="1" t="str">
        <f aca="false">IF(Data!$H95="europe",Data!$A95,"")</f>
        <v/>
      </c>
    </row>
    <row r="107" customFormat="false" ht="15" hidden="false" customHeight="true" outlineLevel="0" collapsed="false">
      <c r="F107" s="21" t="n">
        <f aca="false">IF(Data!$H96="usa",Data!$A96,"")</f>
        <v>14</v>
      </c>
      <c r="G107" s="1" t="str">
        <f aca="false">IF(Data!$H96="japan",Data!$A96,"")</f>
        <v/>
      </c>
      <c r="H107" s="1" t="str">
        <f aca="false">IF(Data!$H96="europe",Data!$A96,"")</f>
        <v/>
      </c>
    </row>
    <row r="108" customFormat="false" ht="15" hidden="false" customHeight="true" outlineLevel="0" collapsed="false">
      <c r="F108" s="21" t="n">
        <f aca="false">IF(Data!$H97="usa",Data!$A97,"")</f>
        <v>13</v>
      </c>
      <c r="G108" s="1" t="str">
        <f aca="false">IF(Data!$H97="japan",Data!$A97,"")</f>
        <v/>
      </c>
      <c r="H108" s="1" t="str">
        <f aca="false">IF(Data!$H97="europe",Data!$A97,"")</f>
        <v/>
      </c>
    </row>
    <row r="109" customFormat="false" ht="15" hidden="false" customHeight="true" outlineLevel="0" collapsed="false">
      <c r="F109" s="21" t="n">
        <f aca="false">IF(Data!$H98="usa",Data!$A98,"")</f>
        <v>12</v>
      </c>
      <c r="G109" s="1" t="str">
        <f aca="false">IF(Data!$H98="japan",Data!$A98,"")</f>
        <v/>
      </c>
      <c r="H109" s="1" t="str">
        <f aca="false">IF(Data!$H98="europe",Data!$A98,"")</f>
        <v/>
      </c>
    </row>
    <row r="110" customFormat="false" ht="15" hidden="false" customHeight="true" outlineLevel="0" collapsed="false">
      <c r="F110" s="21" t="n">
        <f aca="false">IF(Data!$H99="usa",Data!$A99,"")</f>
        <v>13</v>
      </c>
      <c r="G110" s="1" t="str">
        <f aca="false">IF(Data!$H99="japan",Data!$A99,"")</f>
        <v/>
      </c>
      <c r="H110" s="1" t="str">
        <f aca="false">IF(Data!$H99="europe",Data!$A99,"")</f>
        <v/>
      </c>
    </row>
    <row r="111" customFormat="false" ht="15" hidden="false" customHeight="true" outlineLevel="0" collapsed="false">
      <c r="F111" s="21" t="n">
        <f aca="false">IF(Data!$H100="usa",Data!$A100,"")</f>
        <v>18</v>
      </c>
      <c r="G111" s="1" t="str">
        <f aca="false">IF(Data!$H100="japan",Data!$A100,"")</f>
        <v/>
      </c>
      <c r="H111" s="1" t="str">
        <f aca="false">IF(Data!$H100="europe",Data!$A100,"")</f>
        <v/>
      </c>
    </row>
    <row r="112" customFormat="false" ht="15" hidden="false" customHeight="true" outlineLevel="0" collapsed="false">
      <c r="F112" s="21" t="n">
        <f aca="false">IF(Data!$H101="usa",Data!$A101,"")</f>
        <v>16</v>
      </c>
      <c r="G112" s="1" t="str">
        <f aca="false">IF(Data!$H101="japan",Data!$A101,"")</f>
        <v/>
      </c>
      <c r="H112" s="1" t="str">
        <f aca="false">IF(Data!$H101="europe",Data!$A101,"")</f>
        <v/>
      </c>
    </row>
    <row r="113" customFormat="false" ht="15" hidden="false" customHeight="true" outlineLevel="0" collapsed="false">
      <c r="F113" s="21" t="n">
        <f aca="false">IF(Data!$H102="usa",Data!$A102,"")</f>
        <v>18</v>
      </c>
      <c r="G113" s="1" t="str">
        <f aca="false">IF(Data!$H102="japan",Data!$A102,"")</f>
        <v/>
      </c>
      <c r="H113" s="1" t="str">
        <f aca="false">IF(Data!$H102="europe",Data!$A102,"")</f>
        <v/>
      </c>
    </row>
    <row r="114" customFormat="false" ht="15" hidden="false" customHeight="true" outlineLevel="0" collapsed="false">
      <c r="F114" s="21" t="n">
        <f aca="false">IF(Data!$H103="usa",Data!$A103,"")</f>
        <v>18</v>
      </c>
      <c r="G114" s="1" t="str">
        <f aca="false">IF(Data!$H103="japan",Data!$A103,"")</f>
        <v/>
      </c>
      <c r="H114" s="1" t="str">
        <f aca="false">IF(Data!$H103="europe",Data!$A103,"")</f>
        <v/>
      </c>
    </row>
    <row r="115" customFormat="false" ht="15" hidden="false" customHeight="true" outlineLevel="0" collapsed="false">
      <c r="F115" s="21" t="n">
        <f aca="false">IF(Data!$H104="usa",Data!$A104,"")</f>
        <v>23</v>
      </c>
      <c r="G115" s="1" t="str">
        <f aca="false">IF(Data!$H104="japan",Data!$A104,"")</f>
        <v/>
      </c>
      <c r="H115" s="1" t="str">
        <f aca="false">IF(Data!$H104="europe",Data!$A104,"")</f>
        <v/>
      </c>
    </row>
    <row r="116" customFormat="false" ht="15" hidden="false" customHeight="true" outlineLevel="0" collapsed="false">
      <c r="F116" s="1" t="str">
        <f aca="false">IF(Data!$H105="usa",Data!$A105,"")</f>
        <v/>
      </c>
      <c r="G116" s="1" t="str">
        <f aca="false">IF(Data!$H105="japan",Data!$A105,"")</f>
        <v/>
      </c>
      <c r="H116" s="21" t="n">
        <f aca="false">IF(Data!$H105="europe",Data!$A105,"")</f>
        <v>26</v>
      </c>
    </row>
    <row r="117" customFormat="false" ht="15" hidden="false" customHeight="true" outlineLevel="0" collapsed="false">
      <c r="F117" s="21" t="n">
        <f aca="false">IF(Data!$H106="usa",Data!$A106,"")</f>
        <v>11</v>
      </c>
      <c r="G117" s="1" t="str">
        <f aca="false">IF(Data!$H106="japan",Data!$A106,"")</f>
        <v/>
      </c>
      <c r="H117" s="1" t="str">
        <f aca="false">IF(Data!$H106="europe",Data!$A106,"")</f>
        <v/>
      </c>
    </row>
    <row r="118" customFormat="false" ht="15" hidden="false" customHeight="true" outlineLevel="0" collapsed="false">
      <c r="F118" s="21" t="n">
        <f aca="false">IF(Data!$H107="usa",Data!$A107,"")</f>
        <v>12</v>
      </c>
      <c r="G118" s="1" t="str">
        <f aca="false">IF(Data!$H107="japan",Data!$A107,"")</f>
        <v/>
      </c>
      <c r="H118" s="1" t="str">
        <f aca="false">IF(Data!$H107="europe",Data!$A107,"")</f>
        <v/>
      </c>
    </row>
    <row r="119" customFormat="false" ht="15" hidden="false" customHeight="true" outlineLevel="0" collapsed="false">
      <c r="F119" s="21" t="n">
        <f aca="false">IF(Data!$H108="usa",Data!$A108,"")</f>
        <v>13</v>
      </c>
      <c r="G119" s="1" t="str">
        <f aca="false">IF(Data!$H108="japan",Data!$A108,"")</f>
        <v/>
      </c>
      <c r="H119" s="1" t="str">
        <f aca="false">IF(Data!$H108="europe",Data!$A108,"")</f>
        <v/>
      </c>
    </row>
    <row r="120" customFormat="false" ht="15" hidden="false" customHeight="true" outlineLevel="0" collapsed="false">
      <c r="F120" s="21" t="n">
        <f aca="false">IF(Data!$H109="usa",Data!$A109,"")</f>
        <v>12</v>
      </c>
      <c r="G120" s="1" t="str">
        <f aca="false">IF(Data!$H109="japan",Data!$A109,"")</f>
        <v/>
      </c>
      <c r="H120" s="1" t="str">
        <f aca="false">IF(Data!$H109="europe",Data!$A109,"")</f>
        <v/>
      </c>
    </row>
    <row r="121" customFormat="false" ht="15" hidden="false" customHeight="true" outlineLevel="0" collapsed="false">
      <c r="F121" s="21" t="n">
        <f aca="false">IF(Data!$H110="usa",Data!$A110,"")</f>
        <v>18</v>
      </c>
      <c r="G121" s="1" t="str">
        <f aca="false">IF(Data!$H110="japan",Data!$A110,"")</f>
        <v/>
      </c>
      <c r="H121" s="1" t="str">
        <f aca="false">IF(Data!$H110="europe",Data!$A110,"")</f>
        <v/>
      </c>
    </row>
    <row r="122" customFormat="false" ht="15" hidden="false" customHeight="true" outlineLevel="0" collapsed="false">
      <c r="F122" s="1" t="str">
        <f aca="false">IF(Data!$H111="usa",Data!$A111,"")</f>
        <v/>
      </c>
      <c r="G122" s="21" t="n">
        <f aca="false">IF(Data!$H111="japan",Data!$A111,"")</f>
        <v>20</v>
      </c>
      <c r="H122" s="1" t="str">
        <f aca="false">IF(Data!$H111="europe",Data!$A111,"")</f>
        <v/>
      </c>
    </row>
    <row r="123" customFormat="false" ht="15" hidden="false" customHeight="true" outlineLevel="0" collapsed="false">
      <c r="F123" s="21" t="n">
        <f aca="false">IF(Data!$H112="usa",Data!$A112,"")</f>
        <v>21</v>
      </c>
      <c r="G123" s="1" t="str">
        <f aca="false">IF(Data!$H112="japan",Data!$A112,"")</f>
        <v/>
      </c>
      <c r="H123" s="1" t="str">
        <f aca="false">IF(Data!$H112="europe",Data!$A112,"")</f>
        <v/>
      </c>
    </row>
    <row r="124" customFormat="false" ht="15" hidden="false" customHeight="true" outlineLevel="0" collapsed="false">
      <c r="F124" s="1" t="str">
        <f aca="false">IF(Data!$H113="usa",Data!$A113,"")</f>
        <v/>
      </c>
      <c r="G124" s="21" t="n">
        <f aca="false">IF(Data!$H113="japan",Data!$A113,"")</f>
        <v>22</v>
      </c>
      <c r="H124" s="1" t="str">
        <f aca="false">IF(Data!$H113="europe",Data!$A113,"")</f>
        <v/>
      </c>
    </row>
    <row r="125" customFormat="false" ht="15" hidden="false" customHeight="true" outlineLevel="0" collapsed="false">
      <c r="F125" s="1" t="str">
        <f aca="false">IF(Data!$H114="usa",Data!$A114,"")</f>
        <v/>
      </c>
      <c r="G125" s="21" t="n">
        <f aca="false">IF(Data!$H114="japan",Data!$A114,"")</f>
        <v>18</v>
      </c>
      <c r="H125" s="1" t="str">
        <f aca="false">IF(Data!$H114="europe",Data!$A114,"")</f>
        <v/>
      </c>
    </row>
    <row r="126" customFormat="false" ht="15" hidden="false" customHeight="true" outlineLevel="0" collapsed="false">
      <c r="F126" s="21" t="n">
        <f aca="false">IF(Data!$H115="usa",Data!$A115,"")</f>
        <v>19</v>
      </c>
      <c r="G126" s="1" t="str">
        <f aca="false">IF(Data!$H115="japan",Data!$A115,"")</f>
        <v/>
      </c>
      <c r="H126" s="1" t="str">
        <f aca="false">IF(Data!$H115="europe",Data!$A115,"")</f>
        <v/>
      </c>
    </row>
    <row r="127" customFormat="false" ht="15" hidden="false" customHeight="true" outlineLevel="0" collapsed="false">
      <c r="F127" s="21" t="n">
        <f aca="false">IF(Data!$H116="usa",Data!$A116,"")</f>
        <v>21</v>
      </c>
      <c r="G127" s="1" t="str">
        <f aca="false">IF(Data!$H116="japan",Data!$A116,"")</f>
        <v/>
      </c>
      <c r="H127" s="1" t="str">
        <f aca="false">IF(Data!$H116="europe",Data!$A116,"")</f>
        <v/>
      </c>
    </row>
    <row r="128" customFormat="false" ht="15" hidden="false" customHeight="true" outlineLevel="0" collapsed="false">
      <c r="F128" s="1" t="str">
        <f aca="false">IF(Data!$H117="usa",Data!$A117,"")</f>
        <v/>
      </c>
      <c r="G128" s="1" t="str">
        <f aca="false">IF(Data!$H117="japan",Data!$A117,"")</f>
        <v/>
      </c>
      <c r="H128" s="21" t="n">
        <f aca="false">IF(Data!$H117="europe",Data!$A117,"")</f>
        <v>26</v>
      </c>
    </row>
    <row r="129" customFormat="false" ht="15" hidden="false" customHeight="true" outlineLevel="0" collapsed="false">
      <c r="F129" s="21" t="n">
        <f aca="false">IF(Data!$H118="usa",Data!$A118,"")</f>
        <v>15</v>
      </c>
      <c r="G129" s="1" t="str">
        <f aca="false">IF(Data!$H118="japan",Data!$A118,"")</f>
        <v/>
      </c>
      <c r="H129" s="1" t="str">
        <f aca="false">IF(Data!$H118="europe",Data!$A118,"")</f>
        <v/>
      </c>
    </row>
    <row r="130" customFormat="false" ht="15" hidden="false" customHeight="true" outlineLevel="0" collapsed="false">
      <c r="F130" s="21" t="n">
        <f aca="false">IF(Data!$H119="usa",Data!$A119,"")</f>
        <v>16</v>
      </c>
      <c r="G130" s="1" t="str">
        <f aca="false">IF(Data!$H119="japan",Data!$A119,"")</f>
        <v/>
      </c>
      <c r="H130" s="1" t="str">
        <f aca="false">IF(Data!$H119="europe",Data!$A119,"")</f>
        <v/>
      </c>
    </row>
    <row r="131" customFormat="false" ht="15" hidden="false" customHeight="true" outlineLevel="0" collapsed="false">
      <c r="F131" s="1" t="str">
        <f aca="false">IF(Data!$H120="usa",Data!$A120,"")</f>
        <v/>
      </c>
      <c r="G131" s="1" t="str">
        <f aca="false">IF(Data!$H120="japan",Data!$A120,"")</f>
        <v/>
      </c>
      <c r="H131" s="21" t="n">
        <f aca="false">IF(Data!$H120="europe",Data!$A120,"")</f>
        <v>29</v>
      </c>
    </row>
    <row r="132" customFormat="false" ht="15" hidden="false" customHeight="true" outlineLevel="0" collapsed="false">
      <c r="F132" s="1" t="str">
        <f aca="false">IF(Data!$H121="usa",Data!$A121,"")</f>
        <v/>
      </c>
      <c r="G132" s="1" t="str">
        <f aca="false">IF(Data!$H121="japan",Data!$A121,"")</f>
        <v/>
      </c>
      <c r="H132" s="21" t="n">
        <f aca="false">IF(Data!$H121="europe",Data!$A121,"")</f>
        <v>24</v>
      </c>
    </row>
    <row r="133" customFormat="false" ht="15" hidden="false" customHeight="true" outlineLevel="0" collapsed="false">
      <c r="F133" s="1" t="str">
        <f aca="false">IF(Data!$H122="usa",Data!$A122,"")</f>
        <v/>
      </c>
      <c r="G133" s="1" t="str">
        <f aca="false">IF(Data!$H122="japan",Data!$A122,"")</f>
        <v/>
      </c>
      <c r="H133" s="21" t="n">
        <f aca="false">IF(Data!$H122="europe",Data!$A122,"")</f>
        <v>20</v>
      </c>
    </row>
    <row r="134" customFormat="false" ht="15" hidden="false" customHeight="true" outlineLevel="0" collapsed="false">
      <c r="F134" s="1" t="str">
        <f aca="false">IF(Data!$H123="usa",Data!$A123,"")</f>
        <v/>
      </c>
      <c r="G134" s="1" t="str">
        <f aca="false">IF(Data!$H123="japan",Data!$A123,"")</f>
        <v/>
      </c>
      <c r="H134" s="21" t="n">
        <f aca="false">IF(Data!$H123="europe",Data!$A123,"")</f>
        <v>19</v>
      </c>
    </row>
    <row r="135" customFormat="false" ht="15" hidden="false" customHeight="true" outlineLevel="0" collapsed="false">
      <c r="F135" s="21" t="n">
        <f aca="false">IF(Data!$H124="usa",Data!$A124,"")</f>
        <v>15</v>
      </c>
      <c r="G135" s="1" t="str">
        <f aca="false">IF(Data!$H124="japan",Data!$A124,"")</f>
        <v/>
      </c>
      <c r="H135" s="1" t="str">
        <f aca="false">IF(Data!$H124="europe",Data!$A124,"")</f>
        <v/>
      </c>
    </row>
    <row r="136" customFormat="false" ht="15" hidden="false" customHeight="true" outlineLevel="0" collapsed="false">
      <c r="F136" s="1" t="str">
        <f aca="false">IF(Data!$H125="usa",Data!$A125,"")</f>
        <v/>
      </c>
      <c r="G136" s="1" t="str">
        <f aca="false">IF(Data!$H125="japan",Data!$A125,"")</f>
        <v/>
      </c>
      <c r="H136" s="21" t="n">
        <f aca="false">IF(Data!$H125="europe",Data!$A125,"")</f>
        <v>24</v>
      </c>
    </row>
    <row r="137" customFormat="false" ht="15" hidden="false" customHeight="true" outlineLevel="0" collapsed="false">
      <c r="F137" s="1" t="str">
        <f aca="false">IF(Data!$H126="usa",Data!$A126,"")</f>
        <v/>
      </c>
      <c r="G137" s="21" t="n">
        <f aca="false">IF(Data!$H126="japan",Data!$A126,"")</f>
        <v>20</v>
      </c>
      <c r="H137" s="1" t="str">
        <f aca="false">IF(Data!$H126="europe",Data!$A126,"")</f>
        <v/>
      </c>
    </row>
    <row r="138" customFormat="false" ht="15" hidden="false" customHeight="true" outlineLevel="0" collapsed="false">
      <c r="F138" s="21" t="n">
        <f aca="false">IF(Data!$H127="usa",Data!$A127,"")</f>
        <v>11</v>
      </c>
      <c r="G138" s="1" t="str">
        <f aca="false">IF(Data!$H127="japan",Data!$A127,"")</f>
        <v/>
      </c>
      <c r="H138" s="1" t="str">
        <f aca="false">IF(Data!$H127="europe",Data!$A127,"")</f>
        <v/>
      </c>
    </row>
    <row r="139" customFormat="false" ht="15" hidden="false" customHeight="true" outlineLevel="0" collapsed="false">
      <c r="F139" s="21" t="n">
        <f aca="false">IF(Data!$H128="usa",Data!$A128,"")</f>
        <v>20</v>
      </c>
      <c r="G139" s="1" t="str">
        <f aca="false">IF(Data!$H128="japan",Data!$A128,"")</f>
        <v/>
      </c>
      <c r="H139" s="1" t="str">
        <f aca="false">IF(Data!$H128="europe",Data!$A128,"")</f>
        <v/>
      </c>
    </row>
    <row r="140" customFormat="false" ht="15" hidden="false" customHeight="true" outlineLevel="0" collapsed="false">
      <c r="F140" s="21" t="n">
        <f aca="false">IF(Data!$H129="usa",Data!$A129,"")</f>
        <v>21</v>
      </c>
      <c r="G140" s="1" t="str">
        <f aca="false">IF(Data!$H129="japan",Data!$A129,"")</f>
        <v/>
      </c>
      <c r="H140" s="1" t="str">
        <f aca="false">IF(Data!$H129="europe",Data!$A129,"")</f>
        <v/>
      </c>
    </row>
    <row r="141" customFormat="false" ht="15" hidden="false" customHeight="true" outlineLevel="0" collapsed="false">
      <c r="F141" s="21" t="n">
        <f aca="false">IF(Data!$H130="usa",Data!$A130,"")</f>
        <v>19</v>
      </c>
      <c r="G141" s="1" t="str">
        <f aca="false">IF(Data!$H130="japan",Data!$A130,"")</f>
        <v/>
      </c>
      <c r="H141" s="1" t="str">
        <f aca="false">IF(Data!$H130="europe",Data!$A130,"")</f>
        <v/>
      </c>
    </row>
    <row r="142" customFormat="false" ht="15" hidden="false" customHeight="true" outlineLevel="0" collapsed="false">
      <c r="F142" s="21" t="n">
        <f aca="false">IF(Data!$H131="usa",Data!$A131,"")</f>
        <v>15</v>
      </c>
      <c r="G142" s="1" t="str">
        <f aca="false">IF(Data!$H131="japan",Data!$A131,"")</f>
        <v/>
      </c>
      <c r="H142" s="1" t="str">
        <f aca="false">IF(Data!$H131="europe",Data!$A131,"")</f>
        <v/>
      </c>
    </row>
    <row r="143" customFormat="false" ht="15" hidden="false" customHeight="true" outlineLevel="0" collapsed="false">
      <c r="F143" s="1" t="str">
        <f aca="false">IF(Data!$H132="usa",Data!$A132,"")</f>
        <v/>
      </c>
      <c r="G143" s="21" t="n">
        <f aca="false">IF(Data!$H132="japan",Data!$A132,"")</f>
        <v>31</v>
      </c>
      <c r="H143" s="1" t="str">
        <f aca="false">IF(Data!$H132="europe",Data!$A132,"")</f>
        <v/>
      </c>
    </row>
    <row r="144" customFormat="false" ht="15" hidden="false" customHeight="true" outlineLevel="0" collapsed="false">
      <c r="F144" s="21" t="n">
        <f aca="false">IF(Data!$H133="usa",Data!$A133,"")</f>
        <v>26</v>
      </c>
      <c r="G144" s="1" t="str">
        <f aca="false">IF(Data!$H133="japan",Data!$A133,"")</f>
        <v/>
      </c>
      <c r="H144" s="1" t="str">
        <f aca="false">IF(Data!$H133="europe",Data!$A133,"")</f>
        <v/>
      </c>
    </row>
    <row r="145" customFormat="false" ht="15" hidden="false" customHeight="true" outlineLevel="0" collapsed="false">
      <c r="F145" s="1" t="str">
        <f aca="false">IF(Data!$H134="usa",Data!$A134,"")</f>
        <v/>
      </c>
      <c r="G145" s="21" t="n">
        <f aca="false">IF(Data!$H134="japan",Data!$A134,"")</f>
        <v>32</v>
      </c>
      <c r="H145" s="1" t="str">
        <f aca="false">IF(Data!$H134="europe",Data!$A134,"")</f>
        <v/>
      </c>
    </row>
    <row r="146" customFormat="false" ht="15" hidden="false" customHeight="true" outlineLevel="0" collapsed="false">
      <c r="F146" s="21" t="n">
        <f aca="false">IF(Data!$H135="usa",Data!$A135,"")</f>
        <v>25</v>
      </c>
      <c r="G146" s="1" t="str">
        <f aca="false">IF(Data!$H135="japan",Data!$A135,"")</f>
        <v/>
      </c>
      <c r="H146" s="1" t="str">
        <f aca="false">IF(Data!$H135="europe",Data!$A135,"")</f>
        <v/>
      </c>
    </row>
    <row r="147" customFormat="false" ht="15" hidden="false" customHeight="true" outlineLevel="0" collapsed="false">
      <c r="F147" s="21" t="n">
        <f aca="false">IF(Data!$H136="usa",Data!$A136,"")</f>
        <v>16</v>
      </c>
      <c r="G147" s="1" t="str">
        <f aca="false">IF(Data!$H136="japan",Data!$A136,"")</f>
        <v/>
      </c>
      <c r="H147" s="1" t="str">
        <f aca="false">IF(Data!$H136="europe",Data!$A136,"")</f>
        <v/>
      </c>
    </row>
    <row r="148" customFormat="false" ht="15" hidden="false" customHeight="true" outlineLevel="0" collapsed="false">
      <c r="F148" s="21" t="n">
        <f aca="false">IF(Data!$H137="usa",Data!$A137,"")</f>
        <v>16</v>
      </c>
      <c r="G148" s="1" t="str">
        <f aca="false">IF(Data!$H137="japan",Data!$A137,"")</f>
        <v/>
      </c>
      <c r="H148" s="1" t="str">
        <f aca="false">IF(Data!$H137="europe",Data!$A137,"")</f>
        <v/>
      </c>
    </row>
    <row r="149" customFormat="false" ht="15" hidden="false" customHeight="true" outlineLevel="0" collapsed="false">
      <c r="F149" s="21" t="n">
        <f aca="false">IF(Data!$H138="usa",Data!$A138,"")</f>
        <v>18</v>
      </c>
      <c r="G149" s="1" t="str">
        <f aca="false">IF(Data!$H138="japan",Data!$A138,"")</f>
        <v/>
      </c>
      <c r="H149" s="1" t="str">
        <f aca="false">IF(Data!$H138="europe",Data!$A138,"")</f>
        <v/>
      </c>
    </row>
    <row r="150" customFormat="false" ht="15" hidden="false" customHeight="true" outlineLevel="0" collapsed="false">
      <c r="F150" s="21" t="n">
        <f aca="false">IF(Data!$H139="usa",Data!$A139,"")</f>
        <v>16</v>
      </c>
      <c r="G150" s="1" t="str">
        <f aca="false">IF(Data!$H139="japan",Data!$A139,"")</f>
        <v/>
      </c>
      <c r="H150" s="1" t="str">
        <f aca="false">IF(Data!$H139="europe",Data!$A139,"")</f>
        <v/>
      </c>
    </row>
    <row r="151" customFormat="false" ht="15" hidden="false" customHeight="true" outlineLevel="0" collapsed="false">
      <c r="F151" s="21" t="n">
        <f aca="false">IF(Data!$H140="usa",Data!$A140,"")</f>
        <v>13</v>
      </c>
      <c r="G151" s="1" t="str">
        <f aca="false">IF(Data!$H140="japan",Data!$A140,"")</f>
        <v/>
      </c>
      <c r="H151" s="1" t="str">
        <f aca="false">IF(Data!$H140="europe",Data!$A140,"")</f>
        <v/>
      </c>
    </row>
    <row r="152" customFormat="false" ht="15" hidden="false" customHeight="true" outlineLevel="0" collapsed="false">
      <c r="F152" s="21" t="n">
        <f aca="false">IF(Data!$H141="usa",Data!$A141,"")</f>
        <v>14</v>
      </c>
      <c r="G152" s="1" t="str">
        <f aca="false">IF(Data!$H141="japan",Data!$A141,"")</f>
        <v/>
      </c>
      <c r="H152" s="1" t="str">
        <f aca="false">IF(Data!$H141="europe",Data!$A141,"")</f>
        <v/>
      </c>
    </row>
    <row r="153" customFormat="false" ht="15" hidden="false" customHeight="true" outlineLevel="0" collapsed="false">
      <c r="F153" s="21" t="n">
        <f aca="false">IF(Data!$H142="usa",Data!$A142,"")</f>
        <v>14</v>
      </c>
      <c r="G153" s="1" t="str">
        <f aca="false">IF(Data!$H142="japan",Data!$A142,"")</f>
        <v/>
      </c>
      <c r="H153" s="1" t="str">
        <f aca="false">IF(Data!$H142="europe",Data!$A142,"")</f>
        <v/>
      </c>
    </row>
    <row r="154" customFormat="false" ht="15" hidden="false" customHeight="true" outlineLevel="0" collapsed="false">
      <c r="F154" s="21" t="n">
        <f aca="false">IF(Data!$H143="usa",Data!$A143,"")</f>
        <v>14</v>
      </c>
      <c r="G154" s="1" t="str">
        <f aca="false">IF(Data!$H143="japan",Data!$A143,"")</f>
        <v/>
      </c>
      <c r="H154" s="1" t="str">
        <f aca="false">IF(Data!$H143="europe",Data!$A143,"")</f>
        <v/>
      </c>
    </row>
    <row r="155" customFormat="false" ht="15" hidden="false" customHeight="true" outlineLevel="0" collapsed="false">
      <c r="F155" s="1" t="str">
        <f aca="false">IF(Data!$H144="usa",Data!$A144,"")</f>
        <v/>
      </c>
      <c r="G155" s="1" t="str">
        <f aca="false">IF(Data!$H144="japan",Data!$A144,"")</f>
        <v/>
      </c>
      <c r="H155" s="21" t="n">
        <f aca="false">IF(Data!$H144="europe",Data!$A144,"")</f>
        <v>29</v>
      </c>
    </row>
    <row r="156" customFormat="false" ht="15" hidden="false" customHeight="true" outlineLevel="0" collapsed="false">
      <c r="F156" s="1" t="str">
        <f aca="false">IF(Data!$H145="usa",Data!$A145,"")</f>
        <v/>
      </c>
      <c r="G156" s="1" t="str">
        <f aca="false">IF(Data!$H145="japan",Data!$A145,"")</f>
        <v/>
      </c>
      <c r="H156" s="21" t="n">
        <f aca="false">IF(Data!$H145="europe",Data!$A145,"")</f>
        <v>26</v>
      </c>
    </row>
    <row r="157" customFormat="false" ht="15" hidden="false" customHeight="true" outlineLevel="0" collapsed="false">
      <c r="F157" s="1" t="str">
        <f aca="false">IF(Data!$H146="usa",Data!$A146,"")</f>
        <v/>
      </c>
      <c r="G157" s="1" t="str">
        <f aca="false">IF(Data!$H146="japan",Data!$A146,"")</f>
        <v/>
      </c>
      <c r="H157" s="21" t="n">
        <f aca="false">IF(Data!$H146="europe",Data!$A146,"")</f>
        <v>26</v>
      </c>
    </row>
    <row r="158" customFormat="false" ht="15" hidden="false" customHeight="true" outlineLevel="0" collapsed="false">
      <c r="F158" s="1" t="str">
        <f aca="false">IF(Data!$H147="usa",Data!$A147,"")</f>
        <v/>
      </c>
      <c r="G158" s="21" t="n">
        <f aca="false">IF(Data!$H147="japan",Data!$A147,"")</f>
        <v>31</v>
      </c>
      <c r="H158" s="1" t="str">
        <f aca="false">IF(Data!$H147="europe",Data!$A147,"")</f>
        <v/>
      </c>
    </row>
    <row r="159" customFormat="false" ht="15" hidden="false" customHeight="true" outlineLevel="0" collapsed="false">
      <c r="F159" s="1" t="str">
        <f aca="false">IF(Data!$H148="usa",Data!$A148,"")</f>
        <v/>
      </c>
      <c r="G159" s="21" t="n">
        <f aca="false">IF(Data!$H148="japan",Data!$A148,"")</f>
        <v>32</v>
      </c>
      <c r="H159" s="1" t="str">
        <f aca="false">IF(Data!$H148="europe",Data!$A148,"")</f>
        <v/>
      </c>
    </row>
    <row r="160" customFormat="false" ht="15" hidden="false" customHeight="true" outlineLevel="0" collapsed="false">
      <c r="F160" s="21" t="n">
        <f aca="false">IF(Data!$H149="usa",Data!$A149,"")</f>
        <v>28</v>
      </c>
      <c r="G160" s="1" t="str">
        <f aca="false">IF(Data!$H149="japan",Data!$A149,"")</f>
        <v/>
      </c>
      <c r="H160" s="1" t="str">
        <f aca="false">IF(Data!$H149="europe",Data!$A149,"")</f>
        <v/>
      </c>
    </row>
    <row r="161" customFormat="false" ht="15" hidden="false" customHeight="true" outlineLevel="0" collapsed="false">
      <c r="F161" s="1" t="str">
        <f aca="false">IF(Data!$H150="usa",Data!$A150,"")</f>
        <v/>
      </c>
      <c r="G161" s="1" t="str">
        <f aca="false">IF(Data!$H150="japan",Data!$A150,"")</f>
        <v/>
      </c>
      <c r="H161" s="21" t="n">
        <f aca="false">IF(Data!$H150="europe",Data!$A150,"")</f>
        <v>24</v>
      </c>
    </row>
    <row r="162" customFormat="false" ht="15" hidden="false" customHeight="true" outlineLevel="0" collapsed="false">
      <c r="F162" s="1" t="str">
        <f aca="false">IF(Data!$H151="usa",Data!$A151,"")</f>
        <v/>
      </c>
      <c r="G162" s="1" t="str">
        <f aca="false">IF(Data!$H151="japan",Data!$A151,"")</f>
        <v/>
      </c>
      <c r="H162" s="21" t="n">
        <f aca="false">IF(Data!$H151="europe",Data!$A151,"")</f>
        <v>26</v>
      </c>
    </row>
    <row r="163" customFormat="false" ht="15" hidden="false" customHeight="true" outlineLevel="0" collapsed="false">
      <c r="F163" s="1" t="str">
        <f aca="false">IF(Data!$H152="usa",Data!$A152,"")</f>
        <v/>
      </c>
      <c r="G163" s="21" t="n">
        <f aca="false">IF(Data!$H152="japan",Data!$A152,"")</f>
        <v>24</v>
      </c>
      <c r="H163" s="1" t="str">
        <f aca="false">IF(Data!$H152="europe",Data!$A152,"")</f>
        <v/>
      </c>
    </row>
    <row r="164" customFormat="false" ht="15" hidden="false" customHeight="true" outlineLevel="0" collapsed="false">
      <c r="F164" s="1" t="str">
        <f aca="false">IF(Data!$H153="usa",Data!$A153,"")</f>
        <v/>
      </c>
      <c r="G164" s="21" t="n">
        <f aca="false">IF(Data!$H153="japan",Data!$A153,"")</f>
        <v>26</v>
      </c>
      <c r="H164" s="1" t="str">
        <f aca="false">IF(Data!$H153="europe",Data!$A153,"")</f>
        <v/>
      </c>
    </row>
    <row r="165" customFormat="false" ht="15" hidden="false" customHeight="true" outlineLevel="0" collapsed="false">
      <c r="F165" s="1" t="str">
        <f aca="false">IF(Data!$H154="usa",Data!$A154,"")</f>
        <v/>
      </c>
      <c r="G165" s="1" t="str">
        <f aca="false">IF(Data!$H154="japan",Data!$A154,"")</f>
        <v/>
      </c>
      <c r="H165" s="21" t="n">
        <f aca="false">IF(Data!$H154="europe",Data!$A154,"")</f>
        <v>31</v>
      </c>
    </row>
    <row r="166" customFormat="false" ht="15" hidden="false" customHeight="true" outlineLevel="0" collapsed="false">
      <c r="F166" s="21" t="n">
        <f aca="false">IF(Data!$H155="usa",Data!$A155,"")</f>
        <v>19</v>
      </c>
      <c r="G166" s="1" t="str">
        <f aca="false">IF(Data!$H155="japan",Data!$A155,"")</f>
        <v/>
      </c>
      <c r="H166" s="1" t="str">
        <f aca="false">IF(Data!$H155="europe",Data!$A155,"")</f>
        <v/>
      </c>
    </row>
    <row r="167" customFormat="false" ht="15" hidden="false" customHeight="true" outlineLevel="0" collapsed="false">
      <c r="F167" s="21" t="n">
        <f aca="false">IF(Data!$H156="usa",Data!$A156,"")</f>
        <v>18</v>
      </c>
      <c r="G167" s="1" t="str">
        <f aca="false">IF(Data!$H156="japan",Data!$A156,"")</f>
        <v/>
      </c>
      <c r="H167" s="1" t="str">
        <f aca="false">IF(Data!$H156="europe",Data!$A156,"")</f>
        <v/>
      </c>
    </row>
    <row r="168" customFormat="false" ht="15" hidden="false" customHeight="true" outlineLevel="0" collapsed="false">
      <c r="F168" s="21" t="n">
        <f aca="false">IF(Data!$H157="usa",Data!$A157,"")</f>
        <v>15</v>
      </c>
      <c r="G168" s="1" t="str">
        <f aca="false">IF(Data!$H157="japan",Data!$A157,"")</f>
        <v/>
      </c>
      <c r="H168" s="1" t="str">
        <f aca="false">IF(Data!$H157="europe",Data!$A157,"")</f>
        <v/>
      </c>
    </row>
    <row r="169" customFormat="false" ht="15" hidden="false" customHeight="true" outlineLevel="0" collapsed="false">
      <c r="F169" s="21" t="n">
        <f aca="false">IF(Data!$H158="usa",Data!$A158,"")</f>
        <v>15</v>
      </c>
      <c r="G169" s="1" t="str">
        <f aca="false">IF(Data!$H158="japan",Data!$A158,"")</f>
        <v/>
      </c>
      <c r="H169" s="1" t="str">
        <f aca="false">IF(Data!$H158="europe",Data!$A158,"")</f>
        <v/>
      </c>
    </row>
    <row r="170" customFormat="false" ht="15" hidden="false" customHeight="true" outlineLevel="0" collapsed="false">
      <c r="F170" s="21" t="n">
        <f aca="false">IF(Data!$H159="usa",Data!$A159,"")</f>
        <v>16</v>
      </c>
      <c r="G170" s="1" t="str">
        <f aca="false">IF(Data!$H159="japan",Data!$A159,"")</f>
        <v/>
      </c>
      <c r="H170" s="1" t="str">
        <f aca="false">IF(Data!$H159="europe",Data!$A159,"")</f>
        <v/>
      </c>
    </row>
    <row r="171" customFormat="false" ht="15" hidden="false" customHeight="true" outlineLevel="0" collapsed="false">
      <c r="F171" s="21" t="n">
        <f aca="false">IF(Data!$H160="usa",Data!$A160,"")</f>
        <v>15</v>
      </c>
      <c r="G171" s="1" t="str">
        <f aca="false">IF(Data!$H160="japan",Data!$A160,"")</f>
        <v/>
      </c>
      <c r="H171" s="1" t="str">
        <f aca="false">IF(Data!$H160="europe",Data!$A160,"")</f>
        <v/>
      </c>
    </row>
    <row r="172" customFormat="false" ht="15" hidden="false" customHeight="true" outlineLevel="0" collapsed="false">
      <c r="F172" s="21" t="n">
        <f aca="false">IF(Data!$H161="usa",Data!$A161,"")</f>
        <v>16</v>
      </c>
      <c r="G172" s="1" t="str">
        <f aca="false">IF(Data!$H161="japan",Data!$A161,"")</f>
        <v/>
      </c>
      <c r="H172" s="1" t="str">
        <f aca="false">IF(Data!$H161="europe",Data!$A161,"")</f>
        <v/>
      </c>
    </row>
    <row r="173" customFormat="false" ht="15" hidden="false" customHeight="true" outlineLevel="0" collapsed="false">
      <c r="F173" s="21" t="n">
        <f aca="false">IF(Data!$H162="usa",Data!$A162,"")</f>
        <v>14</v>
      </c>
      <c r="G173" s="1" t="str">
        <f aca="false">IF(Data!$H162="japan",Data!$A162,"")</f>
        <v/>
      </c>
      <c r="H173" s="1" t="str">
        <f aca="false">IF(Data!$H162="europe",Data!$A162,"")</f>
        <v/>
      </c>
    </row>
    <row r="174" customFormat="false" ht="15" hidden="false" customHeight="true" outlineLevel="0" collapsed="false">
      <c r="F174" s="21" t="n">
        <f aca="false">IF(Data!$H163="usa",Data!$A163,"")</f>
        <v>17</v>
      </c>
      <c r="G174" s="1" t="str">
        <f aca="false">IF(Data!$H163="japan",Data!$A163,"")</f>
        <v/>
      </c>
      <c r="H174" s="1" t="str">
        <f aca="false">IF(Data!$H163="europe",Data!$A163,"")</f>
        <v/>
      </c>
    </row>
    <row r="175" customFormat="false" ht="15" hidden="false" customHeight="true" outlineLevel="0" collapsed="false">
      <c r="F175" s="21" t="n">
        <f aca="false">IF(Data!$H164="usa",Data!$A164,"")</f>
        <v>16</v>
      </c>
      <c r="G175" s="1" t="str">
        <f aca="false">IF(Data!$H164="japan",Data!$A164,"")</f>
        <v/>
      </c>
      <c r="H175" s="1" t="str">
        <f aca="false">IF(Data!$H164="europe",Data!$A164,"")</f>
        <v/>
      </c>
    </row>
    <row r="176" customFormat="false" ht="15" hidden="false" customHeight="true" outlineLevel="0" collapsed="false">
      <c r="F176" s="21" t="n">
        <f aca="false">IF(Data!$H165="usa",Data!$A165,"")</f>
        <v>15</v>
      </c>
      <c r="G176" s="1" t="str">
        <f aca="false">IF(Data!$H165="japan",Data!$A165,"")</f>
        <v/>
      </c>
      <c r="H176" s="1" t="str">
        <f aca="false">IF(Data!$H165="europe",Data!$A165,"")</f>
        <v/>
      </c>
    </row>
    <row r="177" customFormat="false" ht="15" hidden="false" customHeight="true" outlineLevel="0" collapsed="false">
      <c r="F177" s="21" t="n">
        <f aca="false">IF(Data!$H166="usa",Data!$A166,"")</f>
        <v>18</v>
      </c>
      <c r="G177" s="1" t="str">
        <f aca="false">IF(Data!$H166="japan",Data!$A166,"")</f>
        <v/>
      </c>
      <c r="H177" s="1" t="str">
        <f aca="false">IF(Data!$H166="europe",Data!$A166,"")</f>
        <v/>
      </c>
    </row>
    <row r="178" customFormat="false" ht="15" hidden="false" customHeight="true" outlineLevel="0" collapsed="false">
      <c r="F178" s="21" t="n">
        <f aca="false">IF(Data!$H167="usa",Data!$A167,"")</f>
        <v>21</v>
      </c>
      <c r="G178" s="1" t="str">
        <f aca="false">IF(Data!$H167="japan",Data!$A167,"")</f>
        <v/>
      </c>
      <c r="H178" s="1" t="str">
        <f aca="false">IF(Data!$H167="europe",Data!$A167,"")</f>
        <v/>
      </c>
    </row>
    <row r="179" customFormat="false" ht="15" hidden="false" customHeight="true" outlineLevel="0" collapsed="false">
      <c r="F179" s="21" t="n">
        <f aca="false">IF(Data!$H168="usa",Data!$A168,"")</f>
        <v>20</v>
      </c>
      <c r="G179" s="1" t="str">
        <f aca="false">IF(Data!$H168="japan",Data!$A168,"")</f>
        <v/>
      </c>
      <c r="H179" s="1" t="str">
        <f aca="false">IF(Data!$H168="europe",Data!$A168,"")</f>
        <v/>
      </c>
    </row>
    <row r="180" customFormat="false" ht="15" hidden="false" customHeight="true" outlineLevel="0" collapsed="false">
      <c r="F180" s="21" t="n">
        <f aca="false">IF(Data!$H169="usa",Data!$A169,"")</f>
        <v>13</v>
      </c>
      <c r="G180" s="1" t="str">
        <f aca="false">IF(Data!$H169="japan",Data!$A169,"")</f>
        <v/>
      </c>
      <c r="H180" s="1" t="str">
        <f aca="false">IF(Data!$H169="europe",Data!$A169,"")</f>
        <v/>
      </c>
    </row>
    <row r="181" customFormat="false" ht="15" hidden="false" customHeight="true" outlineLevel="0" collapsed="false">
      <c r="F181" s="1" t="str">
        <f aca="false">IF(Data!$H170="usa",Data!$A170,"")</f>
        <v/>
      </c>
      <c r="G181" s="21" t="n">
        <f aca="false">IF(Data!$H170="japan",Data!$A170,"")</f>
        <v>29</v>
      </c>
      <c r="H181" s="1" t="str">
        <f aca="false">IF(Data!$H170="europe",Data!$A170,"")</f>
        <v/>
      </c>
    </row>
    <row r="182" customFormat="false" ht="15" hidden="false" customHeight="true" outlineLevel="0" collapsed="false">
      <c r="F182" s="21" t="n">
        <f aca="false">IF(Data!$H171="usa",Data!$A171,"")</f>
        <v>23</v>
      </c>
      <c r="G182" s="1" t="str">
        <f aca="false">IF(Data!$H171="japan",Data!$A171,"")</f>
        <v/>
      </c>
      <c r="H182" s="1" t="str">
        <f aca="false">IF(Data!$H171="europe",Data!$A171,"")</f>
        <v/>
      </c>
    </row>
    <row r="183" customFormat="false" ht="15" hidden="false" customHeight="true" outlineLevel="0" collapsed="false">
      <c r="F183" s="21" t="n">
        <f aca="false">IF(Data!$H172="usa",Data!$A172,"")</f>
        <v>20</v>
      </c>
      <c r="G183" s="1" t="str">
        <f aca="false">IF(Data!$H172="japan",Data!$A172,"")</f>
        <v/>
      </c>
      <c r="H183" s="1" t="str">
        <f aca="false">IF(Data!$H172="europe",Data!$A172,"")</f>
        <v/>
      </c>
    </row>
    <row r="184" customFormat="false" ht="15" hidden="false" customHeight="true" outlineLevel="0" collapsed="false">
      <c r="F184" s="21" t="n">
        <f aca="false">IF(Data!$H173="usa",Data!$A173,"")</f>
        <v>23</v>
      </c>
      <c r="G184" s="1" t="str">
        <f aca="false">IF(Data!$H173="japan",Data!$A173,"")</f>
        <v/>
      </c>
      <c r="H184" s="1" t="str">
        <f aca="false">IF(Data!$H173="europe",Data!$A173,"")</f>
        <v/>
      </c>
    </row>
    <row r="185" customFormat="false" ht="15" hidden="false" customHeight="true" outlineLevel="0" collapsed="false">
      <c r="F185" s="1" t="str">
        <f aca="false">IF(Data!$H174="usa",Data!$A174,"")</f>
        <v/>
      </c>
      <c r="G185" s="21" t="n">
        <f aca="false">IF(Data!$H174="japan",Data!$A174,"")</f>
        <v>24</v>
      </c>
      <c r="H185" s="1" t="str">
        <f aca="false">IF(Data!$H174="europe",Data!$A174,"")</f>
        <v/>
      </c>
    </row>
    <row r="186" customFormat="false" ht="15" hidden="false" customHeight="true" outlineLevel="0" collapsed="false">
      <c r="F186" s="1" t="str">
        <f aca="false">IF(Data!$H175="usa",Data!$A175,"")</f>
        <v/>
      </c>
      <c r="G186" s="1" t="str">
        <f aca="false">IF(Data!$H175="japan",Data!$A175,"")</f>
        <v/>
      </c>
      <c r="H186" s="21" t="n">
        <f aca="false">IF(Data!$H175="europe",Data!$A175,"")</f>
        <v>25</v>
      </c>
    </row>
    <row r="187" customFormat="false" ht="15" hidden="false" customHeight="true" outlineLevel="0" collapsed="false">
      <c r="F187" s="1" t="str">
        <f aca="false">IF(Data!$H176="usa",Data!$A176,"")</f>
        <v/>
      </c>
      <c r="G187" s="21" t="n">
        <f aca="false">IF(Data!$H176="japan",Data!$A176,"")</f>
        <v>24</v>
      </c>
      <c r="H187" s="1" t="str">
        <f aca="false">IF(Data!$H176="europe",Data!$A176,"")</f>
        <v/>
      </c>
    </row>
    <row r="188" customFormat="false" ht="15" hidden="false" customHeight="true" outlineLevel="0" collapsed="false">
      <c r="F188" s="21" t="n">
        <f aca="false">IF(Data!$H177="usa",Data!$A177,"")</f>
        <v>18</v>
      </c>
      <c r="G188" s="1" t="str">
        <f aca="false">IF(Data!$H177="japan",Data!$A177,"")</f>
        <v/>
      </c>
      <c r="H188" s="1" t="str">
        <f aca="false">IF(Data!$H177="europe",Data!$A177,"")</f>
        <v/>
      </c>
    </row>
    <row r="189" customFormat="false" ht="15" hidden="false" customHeight="true" outlineLevel="0" collapsed="false">
      <c r="F189" s="1" t="str">
        <f aca="false">IF(Data!$H178="usa",Data!$A178,"")</f>
        <v/>
      </c>
      <c r="G189" s="1" t="str">
        <f aca="false">IF(Data!$H178="japan",Data!$A178,"")</f>
        <v/>
      </c>
      <c r="H189" s="21" t="n">
        <f aca="false">IF(Data!$H178="europe",Data!$A178,"")</f>
        <v>29</v>
      </c>
    </row>
    <row r="190" customFormat="false" ht="15" hidden="false" customHeight="true" outlineLevel="0" collapsed="false">
      <c r="F190" s="21" t="n">
        <f aca="false">IF(Data!$H179="usa",Data!$A179,"")</f>
        <v>19</v>
      </c>
      <c r="G190" s="1" t="str">
        <f aca="false">IF(Data!$H179="japan",Data!$A179,"")</f>
        <v/>
      </c>
      <c r="H190" s="1" t="str">
        <f aca="false">IF(Data!$H179="europe",Data!$A179,"")</f>
        <v/>
      </c>
    </row>
    <row r="191" customFormat="false" ht="15" hidden="false" customHeight="true" outlineLevel="0" collapsed="false">
      <c r="F191" s="1" t="str">
        <f aca="false">IF(Data!$H180="usa",Data!$A180,"")</f>
        <v/>
      </c>
      <c r="G191" s="1" t="str">
        <f aca="false">IF(Data!$H180="japan",Data!$A180,"")</f>
        <v/>
      </c>
      <c r="H191" s="21" t="n">
        <f aca="false">IF(Data!$H180="europe",Data!$A180,"")</f>
        <v>23</v>
      </c>
    </row>
    <row r="192" customFormat="false" ht="15" hidden="false" customHeight="true" outlineLevel="0" collapsed="false">
      <c r="F192" s="1" t="str">
        <f aca="false">IF(Data!$H181="usa",Data!$A181,"")</f>
        <v/>
      </c>
      <c r="G192" s="1" t="str">
        <f aca="false">IF(Data!$H181="japan",Data!$A181,"")</f>
        <v/>
      </c>
      <c r="H192" s="21" t="n">
        <f aca="false">IF(Data!$H181="europe",Data!$A181,"")</f>
        <v>23</v>
      </c>
    </row>
    <row r="193" customFormat="false" ht="15" hidden="false" customHeight="true" outlineLevel="0" collapsed="false">
      <c r="F193" s="1" t="str">
        <f aca="false">IF(Data!$H182="usa",Data!$A182,"")</f>
        <v/>
      </c>
      <c r="G193" s="1" t="str">
        <f aca="false">IF(Data!$H182="japan",Data!$A182,"")</f>
        <v/>
      </c>
      <c r="H193" s="21" t="n">
        <f aca="false">IF(Data!$H182="europe",Data!$A182,"")</f>
        <v>22</v>
      </c>
    </row>
    <row r="194" customFormat="false" ht="15" hidden="false" customHeight="true" outlineLevel="0" collapsed="false">
      <c r="F194" s="1" t="str">
        <f aca="false">IF(Data!$H183="usa",Data!$A183,"")</f>
        <v/>
      </c>
      <c r="G194" s="1" t="str">
        <f aca="false">IF(Data!$H183="japan",Data!$A183,"")</f>
        <v/>
      </c>
      <c r="H194" s="21" t="n">
        <f aca="false">IF(Data!$H183="europe",Data!$A183,"")</f>
        <v>25</v>
      </c>
    </row>
    <row r="195" customFormat="false" ht="15" hidden="false" customHeight="true" outlineLevel="0" collapsed="false">
      <c r="F195" s="1" t="str">
        <f aca="false">IF(Data!$H184="usa",Data!$A184,"")</f>
        <v/>
      </c>
      <c r="G195" s="21" t="n">
        <f aca="false">IF(Data!$H184="japan",Data!$A184,"")</f>
        <v>33</v>
      </c>
      <c r="H195" s="1" t="str">
        <f aca="false">IF(Data!$H184="europe",Data!$A184,"")</f>
        <v/>
      </c>
    </row>
    <row r="196" customFormat="false" ht="15" hidden="false" customHeight="true" outlineLevel="0" collapsed="false">
      <c r="F196" s="1" t="str">
        <f aca="false">IF(Data!$H185="usa",Data!$A185,"")</f>
        <v/>
      </c>
      <c r="G196" s="1" t="str">
        <f aca="false">IF(Data!$H185="japan",Data!$A185,"")</f>
        <v/>
      </c>
      <c r="H196" s="21" t="n">
        <f aca="false">IF(Data!$H185="europe",Data!$A185,"")</f>
        <v>28</v>
      </c>
    </row>
    <row r="197" customFormat="false" ht="15" hidden="false" customHeight="true" outlineLevel="0" collapsed="false">
      <c r="F197" s="1" t="str">
        <f aca="false">IF(Data!$H186="usa",Data!$A186,"")</f>
        <v/>
      </c>
      <c r="G197" s="1" t="str">
        <f aca="false">IF(Data!$H186="japan",Data!$A186,"")</f>
        <v/>
      </c>
      <c r="H197" s="21" t="n">
        <f aca="false">IF(Data!$H186="europe",Data!$A186,"")</f>
        <v>25</v>
      </c>
    </row>
    <row r="198" customFormat="false" ht="15" hidden="false" customHeight="true" outlineLevel="0" collapsed="false">
      <c r="F198" s="21" t="n">
        <f aca="false">IF(Data!$H187="usa",Data!$A187,"")</f>
        <v>25</v>
      </c>
      <c r="G198" s="1" t="str">
        <f aca="false">IF(Data!$H187="japan",Data!$A187,"")</f>
        <v/>
      </c>
      <c r="H198" s="1" t="str">
        <f aca="false">IF(Data!$H187="europe",Data!$A187,"")</f>
        <v/>
      </c>
    </row>
    <row r="199" customFormat="false" ht="15" hidden="false" customHeight="true" outlineLevel="0" collapsed="false">
      <c r="F199" s="21" t="n">
        <f aca="false">IF(Data!$H188="usa",Data!$A188,"")</f>
        <v>26</v>
      </c>
      <c r="G199" s="1" t="str">
        <f aca="false">IF(Data!$H188="japan",Data!$A188,"")</f>
        <v/>
      </c>
      <c r="H199" s="1" t="str">
        <f aca="false">IF(Data!$H188="europe",Data!$A188,"")</f>
        <v/>
      </c>
    </row>
    <row r="200" customFormat="false" ht="15" hidden="false" customHeight="true" outlineLevel="0" collapsed="false">
      <c r="F200" s="1" t="str">
        <f aca="false">IF(Data!$H189="usa",Data!$A189,"")</f>
        <v/>
      </c>
      <c r="G200" s="1" t="str">
        <f aca="false">IF(Data!$H189="japan",Data!$A189,"")</f>
        <v/>
      </c>
      <c r="H200" s="21" t="n">
        <f aca="false">IF(Data!$H189="europe",Data!$A189,"")</f>
        <v>27</v>
      </c>
    </row>
    <row r="201" customFormat="false" ht="15" hidden="false" customHeight="true" outlineLevel="0" collapsed="false">
      <c r="F201" s="21" t="n">
        <f aca="false">IF(Data!$H190="usa",Data!$A190,"")</f>
        <v>17.5</v>
      </c>
      <c r="G201" s="1" t="str">
        <f aca="false">IF(Data!$H190="japan",Data!$A190,"")</f>
        <v/>
      </c>
      <c r="H201" s="1" t="str">
        <f aca="false">IF(Data!$H190="europe",Data!$A190,"")</f>
        <v/>
      </c>
    </row>
    <row r="202" customFormat="false" ht="15" hidden="false" customHeight="true" outlineLevel="0" collapsed="false">
      <c r="F202" s="21" t="n">
        <f aca="false">IF(Data!$H191="usa",Data!$A191,"")</f>
        <v>16</v>
      </c>
      <c r="G202" s="1" t="str">
        <f aca="false">IF(Data!$H191="japan",Data!$A191,"")</f>
        <v/>
      </c>
      <c r="H202" s="1" t="str">
        <f aca="false">IF(Data!$H191="europe",Data!$A191,"")</f>
        <v/>
      </c>
    </row>
    <row r="203" customFormat="false" ht="15" hidden="false" customHeight="true" outlineLevel="0" collapsed="false">
      <c r="F203" s="21" t="n">
        <f aca="false">IF(Data!$H192="usa",Data!$A192,"")</f>
        <v>15.5</v>
      </c>
      <c r="G203" s="1" t="str">
        <f aca="false">IF(Data!$H192="japan",Data!$A192,"")</f>
        <v/>
      </c>
      <c r="H203" s="1" t="str">
        <f aca="false">IF(Data!$H192="europe",Data!$A192,"")</f>
        <v/>
      </c>
    </row>
    <row r="204" customFormat="false" ht="15" hidden="false" customHeight="true" outlineLevel="0" collapsed="false">
      <c r="F204" s="21" t="n">
        <f aca="false">IF(Data!$H193="usa",Data!$A193,"")</f>
        <v>14.5</v>
      </c>
      <c r="G204" s="1" t="str">
        <f aca="false">IF(Data!$H193="japan",Data!$A193,"")</f>
        <v/>
      </c>
      <c r="H204" s="1" t="str">
        <f aca="false">IF(Data!$H193="europe",Data!$A193,"")</f>
        <v/>
      </c>
    </row>
    <row r="205" customFormat="false" ht="15" hidden="false" customHeight="true" outlineLevel="0" collapsed="false">
      <c r="F205" s="21" t="n">
        <f aca="false">IF(Data!$H194="usa",Data!$A194,"")</f>
        <v>22</v>
      </c>
      <c r="G205" s="1" t="str">
        <f aca="false">IF(Data!$H194="japan",Data!$A194,"")</f>
        <v/>
      </c>
      <c r="H205" s="1" t="str">
        <f aca="false">IF(Data!$H194="europe",Data!$A194,"")</f>
        <v/>
      </c>
    </row>
    <row r="206" customFormat="false" ht="15" hidden="false" customHeight="true" outlineLevel="0" collapsed="false">
      <c r="F206" s="21" t="n">
        <f aca="false">IF(Data!$H195="usa",Data!$A195,"")</f>
        <v>22</v>
      </c>
      <c r="G206" s="1" t="str">
        <f aca="false">IF(Data!$H195="japan",Data!$A195,"")</f>
        <v/>
      </c>
      <c r="H206" s="1" t="str">
        <f aca="false">IF(Data!$H195="europe",Data!$A195,"")</f>
        <v/>
      </c>
    </row>
    <row r="207" customFormat="false" ht="15" hidden="false" customHeight="true" outlineLevel="0" collapsed="false">
      <c r="F207" s="21" t="n">
        <f aca="false">IF(Data!$H196="usa",Data!$A196,"")</f>
        <v>24</v>
      </c>
      <c r="G207" s="1" t="str">
        <f aca="false">IF(Data!$H196="japan",Data!$A196,"")</f>
        <v/>
      </c>
      <c r="H207" s="1" t="str">
        <f aca="false">IF(Data!$H196="europe",Data!$A196,"")</f>
        <v/>
      </c>
    </row>
    <row r="208" customFormat="false" ht="15" hidden="false" customHeight="true" outlineLevel="0" collapsed="false">
      <c r="F208" s="21" t="n">
        <f aca="false">IF(Data!$H197="usa",Data!$A197,"")</f>
        <v>22.5</v>
      </c>
      <c r="G208" s="1" t="str">
        <f aca="false">IF(Data!$H197="japan",Data!$A197,"")</f>
        <v/>
      </c>
      <c r="H208" s="1" t="str">
        <f aca="false">IF(Data!$H197="europe",Data!$A197,"")</f>
        <v/>
      </c>
    </row>
    <row r="209" customFormat="false" ht="15" hidden="false" customHeight="true" outlineLevel="0" collapsed="false">
      <c r="F209" s="21" t="n">
        <f aca="false">IF(Data!$H198="usa",Data!$A198,"")</f>
        <v>29</v>
      </c>
      <c r="G209" s="1" t="str">
        <f aca="false">IF(Data!$H198="japan",Data!$A198,"")</f>
        <v/>
      </c>
      <c r="H209" s="1" t="str">
        <f aca="false">IF(Data!$H198="europe",Data!$A198,"")</f>
        <v/>
      </c>
    </row>
    <row r="210" customFormat="false" ht="15" hidden="false" customHeight="true" outlineLevel="0" collapsed="false">
      <c r="F210" s="21" t="n">
        <f aca="false">IF(Data!$H199="usa",Data!$A199,"")</f>
        <v>24.5</v>
      </c>
      <c r="G210" s="1" t="str">
        <f aca="false">IF(Data!$H199="japan",Data!$A199,"")</f>
        <v/>
      </c>
      <c r="H210" s="1" t="str">
        <f aca="false">IF(Data!$H199="europe",Data!$A199,"")</f>
        <v/>
      </c>
    </row>
    <row r="211" customFormat="false" ht="15" hidden="false" customHeight="true" outlineLevel="0" collapsed="false">
      <c r="F211" s="1" t="str">
        <f aca="false">IF(Data!$H200="usa",Data!$A200,"")</f>
        <v/>
      </c>
      <c r="G211" s="1" t="str">
        <f aca="false">IF(Data!$H200="japan",Data!$A200,"")</f>
        <v/>
      </c>
      <c r="H211" s="21" t="n">
        <f aca="false">IF(Data!$H200="europe",Data!$A200,"")</f>
        <v>29</v>
      </c>
    </row>
    <row r="212" customFormat="false" ht="15" hidden="false" customHeight="true" outlineLevel="0" collapsed="false">
      <c r="F212" s="1" t="str">
        <f aca="false">IF(Data!$H201="usa",Data!$A201,"")</f>
        <v/>
      </c>
      <c r="G212" s="21" t="n">
        <f aca="false">IF(Data!$H201="japan",Data!$A201,"")</f>
        <v>33</v>
      </c>
      <c r="H212" s="1" t="str">
        <f aca="false">IF(Data!$H201="europe",Data!$A201,"")</f>
        <v/>
      </c>
    </row>
    <row r="213" customFormat="false" ht="15" hidden="false" customHeight="true" outlineLevel="0" collapsed="false">
      <c r="F213" s="21" t="n">
        <f aca="false">IF(Data!$H202="usa",Data!$A202,"")</f>
        <v>20</v>
      </c>
      <c r="G213" s="1" t="str">
        <f aca="false">IF(Data!$H202="japan",Data!$A202,"")</f>
        <v/>
      </c>
      <c r="H213" s="1" t="str">
        <f aca="false">IF(Data!$H202="europe",Data!$A202,"")</f>
        <v/>
      </c>
    </row>
    <row r="214" customFormat="false" ht="15" hidden="false" customHeight="true" outlineLevel="0" collapsed="false">
      <c r="F214" s="21" t="n">
        <f aca="false">IF(Data!$H203="usa",Data!$A203,"")</f>
        <v>18</v>
      </c>
      <c r="G214" s="1" t="str">
        <f aca="false">IF(Data!$H203="japan",Data!$A203,"")</f>
        <v/>
      </c>
      <c r="H214" s="1" t="str">
        <f aca="false">IF(Data!$H203="europe",Data!$A203,"")</f>
        <v/>
      </c>
    </row>
    <row r="215" customFormat="false" ht="15" hidden="false" customHeight="true" outlineLevel="0" collapsed="false">
      <c r="F215" s="21" t="n">
        <f aca="false">IF(Data!$H204="usa",Data!$A204,"")</f>
        <v>18.5</v>
      </c>
      <c r="G215" s="1" t="str">
        <f aca="false">IF(Data!$H204="japan",Data!$A204,"")</f>
        <v/>
      </c>
      <c r="H215" s="1" t="str">
        <f aca="false">IF(Data!$H204="europe",Data!$A204,"")</f>
        <v/>
      </c>
    </row>
    <row r="216" customFormat="false" ht="15" hidden="false" customHeight="true" outlineLevel="0" collapsed="false">
      <c r="F216" s="21" t="n">
        <f aca="false">IF(Data!$H205="usa",Data!$A205,"")</f>
        <v>17.5</v>
      </c>
      <c r="G216" s="1" t="str">
        <f aca="false">IF(Data!$H205="japan",Data!$A205,"")</f>
        <v/>
      </c>
      <c r="H216" s="1" t="str">
        <f aca="false">IF(Data!$H205="europe",Data!$A205,"")</f>
        <v/>
      </c>
    </row>
    <row r="217" customFormat="false" ht="15" hidden="false" customHeight="true" outlineLevel="0" collapsed="false">
      <c r="F217" s="1" t="str">
        <f aca="false">IF(Data!$H206="usa",Data!$A206,"")</f>
        <v/>
      </c>
      <c r="G217" s="1" t="str">
        <f aca="false">IF(Data!$H206="japan",Data!$A206,"")</f>
        <v/>
      </c>
      <c r="H217" s="21" t="n">
        <f aca="false">IF(Data!$H206="europe",Data!$A206,"")</f>
        <v>29.5</v>
      </c>
    </row>
    <row r="218" customFormat="false" ht="15" hidden="false" customHeight="true" outlineLevel="0" collapsed="false">
      <c r="F218" s="1" t="str">
        <f aca="false">IF(Data!$H207="usa",Data!$A207,"")</f>
        <v/>
      </c>
      <c r="G218" s="21" t="n">
        <f aca="false">IF(Data!$H207="japan",Data!$A207,"")</f>
        <v>32</v>
      </c>
      <c r="H218" s="1" t="str">
        <f aca="false">IF(Data!$H207="europe",Data!$A207,"")</f>
        <v/>
      </c>
    </row>
    <row r="219" customFormat="false" ht="15" hidden="false" customHeight="true" outlineLevel="0" collapsed="false">
      <c r="F219" s="1" t="str">
        <f aca="false">IF(Data!$H208="usa",Data!$A208,"")</f>
        <v/>
      </c>
      <c r="G219" s="21" t="n">
        <f aca="false">IF(Data!$H208="japan",Data!$A208,"")</f>
        <v>28</v>
      </c>
      <c r="H219" s="1" t="str">
        <f aca="false">IF(Data!$H208="europe",Data!$A208,"")</f>
        <v/>
      </c>
    </row>
    <row r="220" customFormat="false" ht="15" hidden="false" customHeight="true" outlineLevel="0" collapsed="false">
      <c r="F220" s="21" t="n">
        <f aca="false">IF(Data!$H209="usa",Data!$A209,"")</f>
        <v>26.5</v>
      </c>
      <c r="G220" s="1" t="str">
        <f aca="false">IF(Data!$H209="japan",Data!$A209,"")</f>
        <v/>
      </c>
      <c r="H220" s="1" t="str">
        <f aca="false">IF(Data!$H209="europe",Data!$A209,"")</f>
        <v/>
      </c>
    </row>
    <row r="221" customFormat="false" ht="15" hidden="false" customHeight="true" outlineLevel="0" collapsed="false">
      <c r="F221" s="1" t="str">
        <f aca="false">IF(Data!$H210="usa",Data!$A210,"")</f>
        <v/>
      </c>
      <c r="G221" s="1" t="str">
        <f aca="false">IF(Data!$H210="japan",Data!$A210,"")</f>
        <v/>
      </c>
      <c r="H221" s="21" t="n">
        <f aca="false">IF(Data!$H210="europe",Data!$A210,"")</f>
        <v>20</v>
      </c>
    </row>
    <row r="222" customFormat="false" ht="15" hidden="false" customHeight="true" outlineLevel="0" collapsed="false">
      <c r="F222" s="21" t="n">
        <f aca="false">IF(Data!$H211="usa",Data!$A211,"")</f>
        <v>13</v>
      </c>
      <c r="G222" s="1" t="str">
        <f aca="false">IF(Data!$H211="japan",Data!$A211,"")</f>
        <v/>
      </c>
      <c r="H222" s="1" t="str">
        <f aca="false">IF(Data!$H211="europe",Data!$A211,"")</f>
        <v/>
      </c>
    </row>
    <row r="223" customFormat="false" ht="15" hidden="false" customHeight="true" outlineLevel="0" collapsed="false">
      <c r="F223" s="1" t="str">
        <f aca="false">IF(Data!$H212="usa",Data!$A212,"")</f>
        <v/>
      </c>
      <c r="G223" s="1" t="str">
        <f aca="false">IF(Data!$H212="japan",Data!$A212,"")</f>
        <v/>
      </c>
      <c r="H223" s="21" t="n">
        <f aca="false">IF(Data!$H212="europe",Data!$A212,"")</f>
        <v>19</v>
      </c>
    </row>
    <row r="224" customFormat="false" ht="15" hidden="false" customHeight="true" outlineLevel="0" collapsed="false">
      <c r="F224" s="1" t="str">
        <f aca="false">IF(Data!$H213="usa",Data!$A213,"")</f>
        <v/>
      </c>
      <c r="G224" s="21" t="n">
        <f aca="false">IF(Data!$H213="japan",Data!$A213,"")</f>
        <v>19</v>
      </c>
      <c r="H224" s="1" t="str">
        <f aca="false">IF(Data!$H213="europe",Data!$A213,"")</f>
        <v/>
      </c>
    </row>
    <row r="225" customFormat="false" ht="15" hidden="false" customHeight="true" outlineLevel="0" collapsed="false">
      <c r="F225" s="1" t="str">
        <f aca="false">IF(Data!$H214="usa",Data!$A214,"")</f>
        <v/>
      </c>
      <c r="G225" s="1" t="str">
        <f aca="false">IF(Data!$H214="japan",Data!$A214,"")</f>
        <v/>
      </c>
      <c r="H225" s="21" t="n">
        <f aca="false">IF(Data!$H214="europe",Data!$A214,"")</f>
        <v>16.5</v>
      </c>
    </row>
    <row r="226" customFormat="false" ht="15" hidden="false" customHeight="true" outlineLevel="0" collapsed="false">
      <c r="F226" s="21" t="n">
        <f aca="false">IF(Data!$H215="usa",Data!$A215,"")</f>
        <v>16.5</v>
      </c>
      <c r="G226" s="1" t="str">
        <f aca="false">IF(Data!$H215="japan",Data!$A215,"")</f>
        <v/>
      </c>
      <c r="H226" s="1" t="str">
        <f aca="false">IF(Data!$H215="europe",Data!$A215,"")</f>
        <v/>
      </c>
    </row>
    <row r="227" customFormat="false" ht="15" hidden="false" customHeight="true" outlineLevel="0" collapsed="false">
      <c r="F227" s="21" t="n">
        <f aca="false">IF(Data!$H216="usa",Data!$A216,"")</f>
        <v>13</v>
      </c>
      <c r="G227" s="1" t="str">
        <f aca="false">IF(Data!$H216="japan",Data!$A216,"")</f>
        <v/>
      </c>
      <c r="H227" s="1" t="str">
        <f aca="false">IF(Data!$H216="europe",Data!$A216,"")</f>
        <v/>
      </c>
    </row>
    <row r="228" customFormat="false" ht="15" hidden="false" customHeight="true" outlineLevel="0" collapsed="false">
      <c r="F228" s="21" t="n">
        <f aca="false">IF(Data!$H217="usa",Data!$A217,"")</f>
        <v>13</v>
      </c>
      <c r="G228" s="1" t="str">
        <f aca="false">IF(Data!$H217="japan",Data!$A217,"")</f>
        <v/>
      </c>
      <c r="H228" s="1" t="str">
        <f aca="false">IF(Data!$H217="europe",Data!$A217,"")</f>
        <v/>
      </c>
    </row>
    <row r="229" customFormat="false" ht="15" hidden="false" customHeight="true" outlineLevel="0" collapsed="false">
      <c r="F229" s="21" t="n">
        <f aca="false">IF(Data!$H218="usa",Data!$A218,"")</f>
        <v>13</v>
      </c>
      <c r="G229" s="1" t="str">
        <f aca="false">IF(Data!$H218="japan",Data!$A218,"")</f>
        <v/>
      </c>
      <c r="H229" s="1" t="str">
        <f aca="false">IF(Data!$H218="europe",Data!$A218,"")</f>
        <v/>
      </c>
    </row>
    <row r="230" customFormat="false" ht="15" hidden="false" customHeight="true" outlineLevel="0" collapsed="false">
      <c r="F230" s="1" t="str">
        <f aca="false">IF(Data!$H219="usa",Data!$A219,"")</f>
        <v/>
      </c>
      <c r="G230" s="21" t="n">
        <f aca="false">IF(Data!$H219="japan",Data!$A219,"")</f>
        <v>31.5</v>
      </c>
      <c r="H230" s="1" t="str">
        <f aca="false">IF(Data!$H219="europe",Data!$A219,"")</f>
        <v/>
      </c>
    </row>
    <row r="231" customFormat="false" ht="15" hidden="false" customHeight="true" outlineLevel="0" collapsed="false">
      <c r="F231" s="21" t="n">
        <f aca="false">IF(Data!$H220="usa",Data!$A220,"")</f>
        <v>30</v>
      </c>
      <c r="G231" s="1" t="str">
        <f aca="false">IF(Data!$H220="japan",Data!$A220,"")</f>
        <v/>
      </c>
      <c r="H231" s="1" t="str">
        <f aca="false">IF(Data!$H220="europe",Data!$A220,"")</f>
        <v/>
      </c>
    </row>
    <row r="232" customFormat="false" ht="15" hidden="false" customHeight="true" outlineLevel="0" collapsed="false">
      <c r="F232" s="1" t="str">
        <f aca="false">IF(Data!$H221="usa",Data!$A221,"")</f>
        <v/>
      </c>
      <c r="G232" s="1" t="str">
        <f aca="false">IF(Data!$H221="japan",Data!$A221,"")</f>
        <v/>
      </c>
      <c r="H232" s="21" t="n">
        <f aca="false">IF(Data!$H221="europe",Data!$A221,"")</f>
        <v>36</v>
      </c>
    </row>
    <row r="233" customFormat="false" ht="15" hidden="false" customHeight="true" outlineLevel="0" collapsed="false">
      <c r="F233" s="21" t="n">
        <f aca="false">IF(Data!$H222="usa",Data!$A222,"")</f>
        <v>25.5</v>
      </c>
      <c r="G233" s="1" t="str">
        <f aca="false">IF(Data!$H222="japan",Data!$A222,"")</f>
        <v/>
      </c>
      <c r="H233" s="1" t="str">
        <f aca="false">IF(Data!$H222="europe",Data!$A222,"")</f>
        <v/>
      </c>
    </row>
    <row r="234" customFormat="false" ht="15" hidden="false" customHeight="true" outlineLevel="0" collapsed="false">
      <c r="F234" s="1" t="str">
        <f aca="false">IF(Data!$H223="usa",Data!$A223,"")</f>
        <v/>
      </c>
      <c r="G234" s="21" t="n">
        <f aca="false">IF(Data!$H223="japan",Data!$A223,"")</f>
        <v>33.5</v>
      </c>
      <c r="H234" s="1" t="str">
        <f aca="false">IF(Data!$H223="europe",Data!$A223,"")</f>
        <v/>
      </c>
    </row>
    <row r="235" customFormat="false" ht="15" hidden="false" customHeight="true" outlineLevel="0" collapsed="false">
      <c r="F235" s="21" t="n">
        <f aca="false">IF(Data!$H224="usa",Data!$A224,"")</f>
        <v>17.5</v>
      </c>
      <c r="G235" s="1" t="str">
        <f aca="false">IF(Data!$H224="japan",Data!$A224,"")</f>
        <v/>
      </c>
      <c r="H235" s="1" t="str">
        <f aca="false">IF(Data!$H224="europe",Data!$A224,"")</f>
        <v/>
      </c>
    </row>
    <row r="236" customFormat="false" ht="15" hidden="false" customHeight="true" outlineLevel="0" collapsed="false">
      <c r="F236" s="21" t="n">
        <f aca="false">IF(Data!$H225="usa",Data!$A225,"")</f>
        <v>17</v>
      </c>
      <c r="G236" s="1" t="str">
        <f aca="false">IF(Data!$H225="japan",Data!$A225,"")</f>
        <v/>
      </c>
      <c r="H236" s="1" t="str">
        <f aca="false">IF(Data!$H225="europe",Data!$A225,"")</f>
        <v/>
      </c>
    </row>
    <row r="237" customFormat="false" ht="15" hidden="false" customHeight="true" outlineLevel="0" collapsed="false">
      <c r="F237" s="21" t="n">
        <f aca="false">IF(Data!$H226="usa",Data!$A226,"")</f>
        <v>15.5</v>
      </c>
      <c r="G237" s="1" t="str">
        <f aca="false">IF(Data!$H226="japan",Data!$A226,"")</f>
        <v/>
      </c>
      <c r="H237" s="1" t="str">
        <f aca="false">IF(Data!$H226="europe",Data!$A226,"")</f>
        <v/>
      </c>
    </row>
    <row r="238" customFormat="false" ht="15" hidden="false" customHeight="true" outlineLevel="0" collapsed="false">
      <c r="F238" s="21" t="n">
        <f aca="false">IF(Data!$H227="usa",Data!$A227,"")</f>
        <v>15</v>
      </c>
      <c r="G238" s="1" t="str">
        <f aca="false">IF(Data!$H227="japan",Data!$A227,"")</f>
        <v/>
      </c>
      <c r="H238" s="1" t="str">
        <f aca="false">IF(Data!$H227="europe",Data!$A227,"")</f>
        <v/>
      </c>
    </row>
    <row r="239" customFormat="false" ht="15" hidden="false" customHeight="true" outlineLevel="0" collapsed="false">
      <c r="F239" s="21" t="n">
        <f aca="false">IF(Data!$H228="usa",Data!$A228,"")</f>
        <v>17.5</v>
      </c>
      <c r="G239" s="1" t="str">
        <f aca="false">IF(Data!$H228="japan",Data!$A228,"")</f>
        <v/>
      </c>
      <c r="H239" s="1" t="str">
        <f aca="false">IF(Data!$H228="europe",Data!$A228,"")</f>
        <v/>
      </c>
    </row>
    <row r="240" customFormat="false" ht="15" hidden="false" customHeight="true" outlineLevel="0" collapsed="false">
      <c r="F240" s="21" t="n">
        <f aca="false">IF(Data!$H229="usa",Data!$A229,"")</f>
        <v>20.5</v>
      </c>
      <c r="G240" s="1" t="str">
        <f aca="false">IF(Data!$H229="japan",Data!$A229,"")</f>
        <v/>
      </c>
      <c r="H240" s="1" t="str">
        <f aca="false">IF(Data!$H229="europe",Data!$A229,"")</f>
        <v/>
      </c>
    </row>
    <row r="241" customFormat="false" ht="15" hidden="false" customHeight="true" outlineLevel="0" collapsed="false">
      <c r="F241" s="21" t="n">
        <f aca="false">IF(Data!$H230="usa",Data!$A230,"")</f>
        <v>19</v>
      </c>
      <c r="G241" s="1" t="str">
        <f aca="false">IF(Data!$H230="japan",Data!$A230,"")</f>
        <v/>
      </c>
      <c r="H241" s="1" t="str">
        <f aca="false">IF(Data!$H230="europe",Data!$A230,"")</f>
        <v/>
      </c>
    </row>
    <row r="242" customFormat="false" ht="15" hidden="false" customHeight="true" outlineLevel="0" collapsed="false">
      <c r="F242" s="21" t="n">
        <f aca="false">IF(Data!$H231="usa",Data!$A231,"")</f>
        <v>18.5</v>
      </c>
      <c r="G242" s="1" t="str">
        <f aca="false">IF(Data!$H231="japan",Data!$A231,"")</f>
        <v/>
      </c>
      <c r="H242" s="1" t="str">
        <f aca="false">IF(Data!$H231="europe",Data!$A231,"")</f>
        <v/>
      </c>
    </row>
    <row r="243" customFormat="false" ht="15" hidden="false" customHeight="true" outlineLevel="0" collapsed="false">
      <c r="F243" s="21" t="n">
        <f aca="false">IF(Data!$H232="usa",Data!$A232,"")</f>
        <v>16</v>
      </c>
      <c r="G243" s="1" t="str">
        <f aca="false">IF(Data!$H232="japan",Data!$A232,"")</f>
        <v/>
      </c>
      <c r="H243" s="1" t="str">
        <f aca="false">IF(Data!$H232="europe",Data!$A232,"")</f>
        <v/>
      </c>
    </row>
    <row r="244" customFormat="false" ht="15" hidden="false" customHeight="true" outlineLevel="0" collapsed="false">
      <c r="F244" s="21" t="n">
        <f aca="false">IF(Data!$H233="usa",Data!$A233,"")</f>
        <v>15.5</v>
      </c>
      <c r="G244" s="1" t="str">
        <f aca="false">IF(Data!$H233="japan",Data!$A233,"")</f>
        <v/>
      </c>
      <c r="H244" s="1" t="str">
        <f aca="false">IF(Data!$H233="europe",Data!$A233,"")</f>
        <v/>
      </c>
    </row>
    <row r="245" customFormat="false" ht="15" hidden="false" customHeight="true" outlineLevel="0" collapsed="false">
      <c r="F245" s="21" t="n">
        <f aca="false">IF(Data!$H234="usa",Data!$A234,"")</f>
        <v>15.5</v>
      </c>
      <c r="G245" s="1" t="str">
        <f aca="false">IF(Data!$H234="japan",Data!$A234,"")</f>
        <v/>
      </c>
      <c r="H245" s="1" t="str">
        <f aca="false">IF(Data!$H234="europe",Data!$A234,"")</f>
        <v/>
      </c>
    </row>
    <row r="246" customFormat="false" ht="15" hidden="false" customHeight="true" outlineLevel="0" collapsed="false">
      <c r="F246" s="21" t="n">
        <f aca="false">IF(Data!$H235="usa",Data!$A235,"")</f>
        <v>16</v>
      </c>
      <c r="G246" s="1" t="str">
        <f aca="false">IF(Data!$H235="japan",Data!$A235,"")</f>
        <v/>
      </c>
      <c r="H246" s="1" t="str">
        <f aca="false">IF(Data!$H235="europe",Data!$A235,"")</f>
        <v/>
      </c>
    </row>
    <row r="247" customFormat="false" ht="15" hidden="false" customHeight="true" outlineLevel="0" collapsed="false">
      <c r="F247" s="1" t="str">
        <f aca="false">IF(Data!$H236="usa",Data!$A236,"")</f>
        <v/>
      </c>
      <c r="G247" s="1" t="str">
        <f aca="false">IF(Data!$H236="japan",Data!$A236,"")</f>
        <v/>
      </c>
      <c r="H247" s="21" t="n">
        <f aca="false">IF(Data!$H236="europe",Data!$A236,"")</f>
        <v>29</v>
      </c>
    </row>
    <row r="248" customFormat="false" ht="15" hidden="false" customHeight="true" outlineLevel="0" collapsed="false">
      <c r="F248" s="21" t="n">
        <f aca="false">IF(Data!$H237="usa",Data!$A237,"")</f>
        <v>24.5</v>
      </c>
      <c r="G248" s="1" t="str">
        <f aca="false">IF(Data!$H237="japan",Data!$A237,"")</f>
        <v/>
      </c>
      <c r="H248" s="1" t="str">
        <f aca="false">IF(Data!$H237="europe",Data!$A237,"")</f>
        <v/>
      </c>
    </row>
    <row r="249" customFormat="false" ht="15" hidden="false" customHeight="true" outlineLevel="0" collapsed="false">
      <c r="F249" s="1" t="str">
        <f aca="false">IF(Data!$H238="usa",Data!$A238,"")</f>
        <v/>
      </c>
      <c r="G249" s="21" t="n">
        <f aca="false">IF(Data!$H238="japan",Data!$A238,"")</f>
        <v>26</v>
      </c>
      <c r="H249" s="1" t="str">
        <f aca="false">IF(Data!$H238="europe",Data!$A238,"")</f>
        <v/>
      </c>
    </row>
    <row r="250" customFormat="false" ht="15" hidden="false" customHeight="true" outlineLevel="0" collapsed="false">
      <c r="F250" s="21" t="n">
        <f aca="false">IF(Data!$H239="usa",Data!$A239,"")</f>
        <v>25.5</v>
      </c>
      <c r="G250" s="1" t="str">
        <f aca="false">IF(Data!$H239="japan",Data!$A239,"")</f>
        <v/>
      </c>
      <c r="H250" s="1" t="str">
        <f aca="false">IF(Data!$H239="europe",Data!$A239,"")</f>
        <v/>
      </c>
    </row>
    <row r="251" customFormat="false" ht="15" hidden="false" customHeight="true" outlineLevel="0" collapsed="false">
      <c r="F251" s="21" t="n">
        <f aca="false">IF(Data!$H240="usa",Data!$A240,"")</f>
        <v>30.5</v>
      </c>
      <c r="G251" s="1" t="str">
        <f aca="false">IF(Data!$H240="japan",Data!$A240,"")</f>
        <v/>
      </c>
      <c r="H251" s="1" t="str">
        <f aca="false">IF(Data!$H240="europe",Data!$A240,"")</f>
        <v/>
      </c>
    </row>
    <row r="252" customFormat="false" ht="15" hidden="false" customHeight="true" outlineLevel="0" collapsed="false">
      <c r="F252" s="21" t="n">
        <f aca="false">IF(Data!$H241="usa",Data!$A241,"")</f>
        <v>33.5</v>
      </c>
      <c r="G252" s="1" t="str">
        <f aca="false">IF(Data!$H241="japan",Data!$A241,"")</f>
        <v/>
      </c>
      <c r="H252" s="1" t="str">
        <f aca="false">IF(Data!$H241="europe",Data!$A241,"")</f>
        <v/>
      </c>
    </row>
    <row r="253" customFormat="false" ht="15" hidden="false" customHeight="true" outlineLevel="0" collapsed="false">
      <c r="F253" s="1" t="str">
        <f aca="false">IF(Data!$H242="usa",Data!$A242,"")</f>
        <v/>
      </c>
      <c r="G253" s="21" t="n">
        <f aca="false">IF(Data!$H242="japan",Data!$A242,"")</f>
        <v>30</v>
      </c>
      <c r="H253" s="1" t="str">
        <f aca="false">IF(Data!$H242="europe",Data!$A242,"")</f>
        <v/>
      </c>
    </row>
    <row r="254" customFormat="false" ht="15" hidden="false" customHeight="true" outlineLevel="0" collapsed="false">
      <c r="F254" s="1" t="str">
        <f aca="false">IF(Data!$H243="usa",Data!$A243,"")</f>
        <v/>
      </c>
      <c r="G254" s="1" t="str">
        <f aca="false">IF(Data!$H243="japan",Data!$A243,"")</f>
        <v/>
      </c>
      <c r="H254" s="21" t="n">
        <f aca="false">IF(Data!$H243="europe",Data!$A243,"")</f>
        <v>30.5</v>
      </c>
    </row>
    <row r="255" customFormat="false" ht="15" hidden="false" customHeight="true" outlineLevel="0" collapsed="false">
      <c r="F255" s="1" t="str">
        <f aca="false">IF(Data!$H244="usa",Data!$A244,"")</f>
        <v/>
      </c>
      <c r="G255" s="21" t="n">
        <f aca="false">IF(Data!$H244="japan",Data!$A244,"")</f>
        <v>22</v>
      </c>
      <c r="H255" s="1" t="str">
        <f aca="false">IF(Data!$H244="europe",Data!$A244,"")</f>
        <v/>
      </c>
    </row>
    <row r="256" customFormat="false" ht="15" hidden="false" customHeight="true" outlineLevel="0" collapsed="false">
      <c r="F256" s="1" t="str">
        <f aca="false">IF(Data!$H245="usa",Data!$A245,"")</f>
        <v/>
      </c>
      <c r="G256" s="1" t="str">
        <f aca="false">IF(Data!$H245="japan",Data!$A245,"")</f>
        <v/>
      </c>
      <c r="H256" s="21" t="n">
        <f aca="false">IF(Data!$H245="europe",Data!$A245,"")</f>
        <v>21.5</v>
      </c>
    </row>
    <row r="257" customFormat="false" ht="15" hidden="false" customHeight="true" outlineLevel="0" collapsed="false">
      <c r="F257" s="1" t="str">
        <f aca="false">IF(Data!$H246="usa",Data!$A246,"")</f>
        <v/>
      </c>
      <c r="G257" s="21" t="n">
        <f aca="false">IF(Data!$H246="japan",Data!$A246,"")</f>
        <v>21.5</v>
      </c>
      <c r="H257" s="1" t="str">
        <f aca="false">IF(Data!$H246="europe",Data!$A246,"")</f>
        <v/>
      </c>
    </row>
    <row r="258" customFormat="false" ht="15" hidden="false" customHeight="true" outlineLevel="0" collapsed="false">
      <c r="F258" s="1" t="str">
        <f aca="false">IF(Data!$H247="usa",Data!$A247,"")</f>
        <v/>
      </c>
      <c r="G258" s="1" t="str">
        <f aca="false">IF(Data!$H247="japan",Data!$A247,"")</f>
        <v/>
      </c>
      <c r="H258" s="21" t="n">
        <f aca="false">IF(Data!$H247="europe",Data!$A247,"")</f>
        <v>43.1</v>
      </c>
    </row>
    <row r="259" customFormat="false" ht="15" hidden="false" customHeight="true" outlineLevel="0" collapsed="false">
      <c r="F259" s="21" t="n">
        <f aca="false">IF(Data!$H248="usa",Data!$A248,"")</f>
        <v>36.1</v>
      </c>
      <c r="G259" s="1" t="str">
        <f aca="false">IF(Data!$H248="japan",Data!$A248,"")</f>
        <v/>
      </c>
      <c r="H259" s="1" t="str">
        <f aca="false">IF(Data!$H248="europe",Data!$A248,"")</f>
        <v/>
      </c>
    </row>
    <row r="260" customFormat="false" ht="15" hidden="false" customHeight="true" outlineLevel="0" collapsed="false">
      <c r="F260" s="1" t="str">
        <f aca="false">IF(Data!$H249="usa",Data!$A249,"")</f>
        <v/>
      </c>
      <c r="G260" s="21" t="n">
        <f aca="false">IF(Data!$H249="japan",Data!$A249,"")</f>
        <v>32.8</v>
      </c>
      <c r="H260" s="1" t="str">
        <f aca="false">IF(Data!$H249="europe",Data!$A249,"")</f>
        <v/>
      </c>
    </row>
    <row r="261" customFormat="false" ht="15" hidden="false" customHeight="true" outlineLevel="0" collapsed="false">
      <c r="F261" s="1" t="str">
        <f aca="false">IF(Data!$H250="usa",Data!$A250,"")</f>
        <v/>
      </c>
      <c r="G261" s="21" t="n">
        <f aca="false">IF(Data!$H250="japan",Data!$A250,"")</f>
        <v>39.4</v>
      </c>
      <c r="H261" s="1" t="str">
        <f aca="false">IF(Data!$H250="europe",Data!$A250,"")</f>
        <v/>
      </c>
    </row>
    <row r="262" customFormat="false" ht="15" hidden="false" customHeight="true" outlineLevel="0" collapsed="false">
      <c r="F262" s="1" t="str">
        <f aca="false">IF(Data!$H251="usa",Data!$A251,"")</f>
        <v/>
      </c>
      <c r="G262" s="21" t="n">
        <f aca="false">IF(Data!$H251="japan",Data!$A251,"")</f>
        <v>36.1</v>
      </c>
      <c r="H262" s="1" t="str">
        <f aca="false">IF(Data!$H251="europe",Data!$A251,"")</f>
        <v/>
      </c>
    </row>
    <row r="263" customFormat="false" ht="15" hidden="false" customHeight="true" outlineLevel="0" collapsed="false">
      <c r="F263" s="21" t="n">
        <f aca="false">IF(Data!$H252="usa",Data!$A252,"")</f>
        <v>19.9</v>
      </c>
      <c r="G263" s="1" t="str">
        <f aca="false">IF(Data!$H252="japan",Data!$A252,"")</f>
        <v/>
      </c>
      <c r="H263" s="1" t="str">
        <f aca="false">IF(Data!$H252="europe",Data!$A252,"")</f>
        <v/>
      </c>
    </row>
    <row r="264" customFormat="false" ht="15" hidden="false" customHeight="true" outlineLevel="0" collapsed="false">
      <c r="F264" s="21" t="n">
        <f aca="false">IF(Data!$H253="usa",Data!$A253,"")</f>
        <v>19.4</v>
      </c>
      <c r="G264" s="1" t="str">
        <f aca="false">IF(Data!$H253="japan",Data!$A253,"")</f>
        <v/>
      </c>
      <c r="H264" s="1" t="str">
        <f aca="false">IF(Data!$H253="europe",Data!$A253,"")</f>
        <v/>
      </c>
    </row>
    <row r="265" customFormat="false" ht="15" hidden="false" customHeight="true" outlineLevel="0" collapsed="false">
      <c r="F265" s="21" t="n">
        <f aca="false">IF(Data!$H254="usa",Data!$A254,"")</f>
        <v>20.2</v>
      </c>
      <c r="G265" s="1" t="str">
        <f aca="false">IF(Data!$H254="japan",Data!$A254,"")</f>
        <v/>
      </c>
      <c r="H265" s="1" t="str">
        <f aca="false">IF(Data!$H254="europe",Data!$A254,"")</f>
        <v/>
      </c>
    </row>
    <row r="266" customFormat="false" ht="15" hidden="false" customHeight="true" outlineLevel="0" collapsed="false">
      <c r="F266" s="21" t="n">
        <f aca="false">IF(Data!$H255="usa",Data!$A255,"")</f>
        <v>19.2</v>
      </c>
      <c r="G266" s="1" t="str">
        <f aca="false">IF(Data!$H255="japan",Data!$A255,"")</f>
        <v/>
      </c>
      <c r="H266" s="1" t="str">
        <f aca="false">IF(Data!$H255="europe",Data!$A255,"")</f>
        <v/>
      </c>
    </row>
    <row r="267" customFormat="false" ht="15" hidden="false" customHeight="true" outlineLevel="0" collapsed="false">
      <c r="F267" s="21" t="n">
        <f aca="false">IF(Data!$H256="usa",Data!$A256,"")</f>
        <v>20.5</v>
      </c>
      <c r="G267" s="1" t="str">
        <f aca="false">IF(Data!$H256="japan",Data!$A256,"")</f>
        <v/>
      </c>
      <c r="H267" s="1" t="str">
        <f aca="false">IF(Data!$H256="europe",Data!$A256,"")</f>
        <v/>
      </c>
    </row>
    <row r="268" customFormat="false" ht="15" hidden="false" customHeight="true" outlineLevel="0" collapsed="false">
      <c r="F268" s="21" t="n">
        <f aca="false">IF(Data!$H257="usa",Data!$A257,"")</f>
        <v>20.2</v>
      </c>
      <c r="G268" s="1" t="str">
        <f aca="false">IF(Data!$H257="japan",Data!$A257,"")</f>
        <v/>
      </c>
      <c r="H268" s="1" t="str">
        <f aca="false">IF(Data!$H257="europe",Data!$A257,"")</f>
        <v/>
      </c>
    </row>
    <row r="269" customFormat="false" ht="15" hidden="false" customHeight="true" outlineLevel="0" collapsed="false">
      <c r="F269" s="21" t="n">
        <f aca="false">IF(Data!$H258="usa",Data!$A258,"")</f>
        <v>25.1</v>
      </c>
      <c r="G269" s="1" t="str">
        <f aca="false">IF(Data!$H258="japan",Data!$A258,"")</f>
        <v/>
      </c>
      <c r="H269" s="1" t="str">
        <f aca="false">IF(Data!$H258="europe",Data!$A258,"")</f>
        <v/>
      </c>
    </row>
    <row r="270" customFormat="false" ht="15" hidden="false" customHeight="true" outlineLevel="0" collapsed="false">
      <c r="F270" s="21" t="n">
        <f aca="false">IF(Data!$H259="usa",Data!$A259,"")</f>
        <v>20.5</v>
      </c>
      <c r="G270" s="1" t="str">
        <f aca="false">IF(Data!$H259="japan",Data!$A259,"")</f>
        <v/>
      </c>
      <c r="H270" s="1" t="str">
        <f aca="false">IF(Data!$H259="europe",Data!$A259,"")</f>
        <v/>
      </c>
    </row>
    <row r="271" customFormat="false" ht="15" hidden="false" customHeight="true" outlineLevel="0" collapsed="false">
      <c r="F271" s="21" t="n">
        <f aca="false">IF(Data!$H260="usa",Data!$A260,"")</f>
        <v>19.4</v>
      </c>
      <c r="G271" s="1" t="str">
        <f aca="false">IF(Data!$H260="japan",Data!$A260,"")</f>
        <v/>
      </c>
      <c r="H271" s="1" t="str">
        <f aca="false">IF(Data!$H260="europe",Data!$A260,"")</f>
        <v/>
      </c>
    </row>
    <row r="272" customFormat="false" ht="15" hidden="false" customHeight="true" outlineLevel="0" collapsed="false">
      <c r="F272" s="21" t="n">
        <f aca="false">IF(Data!$H261="usa",Data!$A261,"")</f>
        <v>20.6</v>
      </c>
      <c r="G272" s="1" t="str">
        <f aca="false">IF(Data!$H261="japan",Data!$A261,"")</f>
        <v/>
      </c>
      <c r="H272" s="1" t="str">
        <f aca="false">IF(Data!$H261="europe",Data!$A261,"")</f>
        <v/>
      </c>
    </row>
    <row r="273" customFormat="false" ht="15" hidden="false" customHeight="true" outlineLevel="0" collapsed="false">
      <c r="F273" s="21" t="n">
        <f aca="false">IF(Data!$H262="usa",Data!$A262,"")</f>
        <v>20.8</v>
      </c>
      <c r="G273" s="1" t="str">
        <f aca="false">IF(Data!$H262="japan",Data!$A262,"")</f>
        <v/>
      </c>
      <c r="H273" s="1" t="str">
        <f aca="false">IF(Data!$H262="europe",Data!$A262,"")</f>
        <v/>
      </c>
    </row>
    <row r="274" customFormat="false" ht="15" hidden="false" customHeight="true" outlineLevel="0" collapsed="false">
      <c r="F274" s="21" t="n">
        <f aca="false">IF(Data!$H263="usa",Data!$A263,"")</f>
        <v>18.6</v>
      </c>
      <c r="G274" s="1" t="str">
        <f aca="false">IF(Data!$H263="japan",Data!$A263,"")</f>
        <v/>
      </c>
      <c r="H274" s="1" t="str">
        <f aca="false">IF(Data!$H263="europe",Data!$A263,"")</f>
        <v/>
      </c>
    </row>
    <row r="275" customFormat="false" ht="15" hidden="false" customHeight="true" outlineLevel="0" collapsed="false">
      <c r="F275" s="21" t="n">
        <f aca="false">IF(Data!$H264="usa",Data!$A264,"")</f>
        <v>18.1</v>
      </c>
      <c r="G275" s="1" t="str">
        <f aca="false">IF(Data!$H264="japan",Data!$A264,"")</f>
        <v/>
      </c>
      <c r="H275" s="1" t="str">
        <f aca="false">IF(Data!$H264="europe",Data!$A264,"")</f>
        <v/>
      </c>
    </row>
    <row r="276" customFormat="false" ht="15" hidden="false" customHeight="true" outlineLevel="0" collapsed="false">
      <c r="F276" s="21" t="n">
        <f aca="false">IF(Data!$H265="usa",Data!$A265,"")</f>
        <v>19.2</v>
      </c>
      <c r="G276" s="1" t="str">
        <f aca="false">IF(Data!$H265="japan",Data!$A265,"")</f>
        <v/>
      </c>
      <c r="H276" s="1" t="str">
        <f aca="false">IF(Data!$H265="europe",Data!$A265,"")</f>
        <v/>
      </c>
    </row>
    <row r="277" customFormat="false" ht="15" hidden="false" customHeight="true" outlineLevel="0" collapsed="false">
      <c r="F277" s="21" t="n">
        <f aca="false">IF(Data!$H266="usa",Data!$A266,"")</f>
        <v>17.7</v>
      </c>
      <c r="G277" s="1" t="str">
        <f aca="false">IF(Data!$H266="japan",Data!$A266,"")</f>
        <v/>
      </c>
      <c r="H277" s="1" t="str">
        <f aca="false">IF(Data!$H266="europe",Data!$A266,"")</f>
        <v/>
      </c>
    </row>
    <row r="278" customFormat="false" ht="15" hidden="false" customHeight="true" outlineLevel="0" collapsed="false">
      <c r="F278" s="21" t="n">
        <f aca="false">IF(Data!$H267="usa",Data!$A267,"")</f>
        <v>18.1</v>
      </c>
      <c r="G278" s="1" t="str">
        <f aca="false">IF(Data!$H267="japan",Data!$A267,"")</f>
        <v/>
      </c>
      <c r="H278" s="1" t="str">
        <f aca="false">IF(Data!$H267="europe",Data!$A267,"")</f>
        <v/>
      </c>
    </row>
    <row r="279" customFormat="false" ht="15" hidden="false" customHeight="true" outlineLevel="0" collapsed="false">
      <c r="F279" s="21" t="n">
        <f aca="false">IF(Data!$H268="usa",Data!$A268,"")</f>
        <v>17.5</v>
      </c>
      <c r="G279" s="1" t="str">
        <f aca="false">IF(Data!$H268="japan",Data!$A268,"")</f>
        <v/>
      </c>
      <c r="H279" s="1" t="str">
        <f aca="false">IF(Data!$H268="europe",Data!$A268,"")</f>
        <v/>
      </c>
    </row>
    <row r="280" customFormat="false" ht="15" hidden="false" customHeight="true" outlineLevel="0" collapsed="false">
      <c r="F280" s="21" t="n">
        <f aca="false">IF(Data!$H269="usa",Data!$A269,"")</f>
        <v>30</v>
      </c>
      <c r="G280" s="1" t="str">
        <f aca="false">IF(Data!$H269="japan",Data!$A269,"")</f>
        <v/>
      </c>
      <c r="H280" s="1" t="str">
        <f aca="false">IF(Data!$H269="europe",Data!$A269,"")</f>
        <v/>
      </c>
    </row>
    <row r="281" customFormat="false" ht="15" hidden="false" customHeight="true" outlineLevel="0" collapsed="false">
      <c r="F281" s="1" t="str">
        <f aca="false">IF(Data!$H270="usa",Data!$A270,"")</f>
        <v/>
      </c>
      <c r="G281" s="21" t="n">
        <f aca="false">IF(Data!$H270="japan",Data!$A270,"")</f>
        <v>27.5</v>
      </c>
      <c r="H281" s="1" t="str">
        <f aca="false">IF(Data!$H270="europe",Data!$A270,"")</f>
        <v/>
      </c>
    </row>
    <row r="282" customFormat="false" ht="15" hidden="false" customHeight="true" outlineLevel="0" collapsed="false">
      <c r="F282" s="1" t="str">
        <f aca="false">IF(Data!$H271="usa",Data!$A271,"")</f>
        <v/>
      </c>
      <c r="G282" s="21" t="n">
        <f aca="false">IF(Data!$H271="japan",Data!$A271,"")</f>
        <v>27.2</v>
      </c>
      <c r="H282" s="1" t="str">
        <f aca="false">IF(Data!$H271="europe",Data!$A271,"")</f>
        <v/>
      </c>
    </row>
    <row r="283" customFormat="false" ht="15" hidden="false" customHeight="true" outlineLevel="0" collapsed="false">
      <c r="F283" s="21" t="n">
        <f aca="false">IF(Data!$H272="usa",Data!$A272,"")</f>
        <v>30.9</v>
      </c>
      <c r="G283" s="1" t="str">
        <f aca="false">IF(Data!$H272="japan",Data!$A272,"")</f>
        <v/>
      </c>
      <c r="H283" s="1" t="str">
        <f aca="false">IF(Data!$H272="europe",Data!$A272,"")</f>
        <v/>
      </c>
    </row>
    <row r="284" customFormat="false" ht="15" hidden="false" customHeight="true" outlineLevel="0" collapsed="false">
      <c r="F284" s="1" t="str">
        <f aca="false">IF(Data!$H273="usa",Data!$A273,"")</f>
        <v/>
      </c>
      <c r="G284" s="21" t="n">
        <f aca="false">IF(Data!$H273="japan",Data!$A273,"")</f>
        <v>21.1</v>
      </c>
      <c r="H284" s="1" t="str">
        <f aca="false">IF(Data!$H273="europe",Data!$A273,"")</f>
        <v/>
      </c>
    </row>
    <row r="285" customFormat="false" ht="15" hidden="false" customHeight="true" outlineLevel="0" collapsed="false">
      <c r="F285" s="21" t="n">
        <f aca="false">IF(Data!$H274="usa",Data!$A274,"")</f>
        <v>23.2</v>
      </c>
      <c r="G285" s="1" t="str">
        <f aca="false">IF(Data!$H274="japan",Data!$A274,"")</f>
        <v/>
      </c>
      <c r="H285" s="1" t="str">
        <f aca="false">IF(Data!$H274="europe",Data!$A274,"")</f>
        <v/>
      </c>
    </row>
    <row r="286" customFormat="false" ht="15" hidden="false" customHeight="true" outlineLevel="0" collapsed="false">
      <c r="F286" s="21" t="n">
        <f aca="false">IF(Data!$H275="usa",Data!$A275,"")</f>
        <v>23.8</v>
      </c>
      <c r="G286" s="1" t="str">
        <f aca="false">IF(Data!$H275="japan",Data!$A275,"")</f>
        <v/>
      </c>
      <c r="H286" s="1" t="str">
        <f aca="false">IF(Data!$H275="europe",Data!$A275,"")</f>
        <v/>
      </c>
    </row>
    <row r="287" customFormat="false" ht="15" hidden="false" customHeight="true" outlineLevel="0" collapsed="false">
      <c r="F287" s="1" t="str">
        <f aca="false">IF(Data!$H276="usa",Data!$A276,"")</f>
        <v/>
      </c>
      <c r="G287" s="21" t="n">
        <f aca="false">IF(Data!$H276="japan",Data!$A276,"")</f>
        <v>23.9</v>
      </c>
      <c r="H287" s="1" t="str">
        <f aca="false">IF(Data!$H276="europe",Data!$A276,"")</f>
        <v/>
      </c>
    </row>
    <row r="288" customFormat="false" ht="15" hidden="false" customHeight="true" outlineLevel="0" collapsed="false">
      <c r="F288" s="1" t="str">
        <f aca="false">IF(Data!$H277="usa",Data!$A277,"")</f>
        <v/>
      </c>
      <c r="G288" s="1" t="str">
        <f aca="false">IF(Data!$H277="japan",Data!$A277,"")</f>
        <v/>
      </c>
      <c r="H288" s="21" t="n">
        <f aca="false">IF(Data!$H277="europe",Data!$A277,"")</f>
        <v>20.3</v>
      </c>
    </row>
    <row r="289" customFormat="false" ht="15" hidden="false" customHeight="true" outlineLevel="0" collapsed="false">
      <c r="F289" s="1" t="str">
        <f aca="false">IF(Data!$H278="usa",Data!$A278,"")</f>
        <v/>
      </c>
      <c r="G289" s="1" t="str">
        <f aca="false">IF(Data!$H278="japan",Data!$A278,"")</f>
        <v/>
      </c>
      <c r="H289" s="21" t="n">
        <f aca="false">IF(Data!$H278="europe",Data!$A278,"")</f>
        <v>17</v>
      </c>
    </row>
    <row r="290" customFormat="false" ht="15" hidden="false" customHeight="true" outlineLevel="0" collapsed="false">
      <c r="F290" s="1" t="str">
        <f aca="false">IF(Data!$H279="usa",Data!$A279,"")</f>
        <v/>
      </c>
      <c r="G290" s="1" t="str">
        <f aca="false">IF(Data!$H279="japan",Data!$A279,"")</f>
        <v/>
      </c>
      <c r="H290" s="21" t="n">
        <f aca="false">IF(Data!$H279="europe",Data!$A279,"")</f>
        <v>21.6</v>
      </c>
    </row>
    <row r="291" customFormat="false" ht="15" hidden="false" customHeight="true" outlineLevel="0" collapsed="false">
      <c r="F291" s="1" t="str">
        <f aca="false">IF(Data!$H280="usa",Data!$A280,"")</f>
        <v/>
      </c>
      <c r="G291" s="1" t="str">
        <f aca="false">IF(Data!$H280="japan",Data!$A280,"")</f>
        <v/>
      </c>
      <c r="H291" s="21" t="n">
        <f aca="false">IF(Data!$H280="europe",Data!$A280,"")</f>
        <v>16.2</v>
      </c>
    </row>
    <row r="292" customFormat="false" ht="15" hidden="false" customHeight="true" outlineLevel="0" collapsed="false">
      <c r="F292" s="1" t="str">
        <f aca="false">IF(Data!$H281="usa",Data!$A281,"")</f>
        <v/>
      </c>
      <c r="G292" s="1" t="str">
        <f aca="false">IF(Data!$H281="japan",Data!$A281,"")</f>
        <v/>
      </c>
      <c r="H292" s="21" t="n">
        <f aca="false">IF(Data!$H281="europe",Data!$A281,"")</f>
        <v>31.5</v>
      </c>
    </row>
    <row r="293" customFormat="false" ht="15" hidden="false" customHeight="true" outlineLevel="0" collapsed="false">
      <c r="F293" s="1" t="str">
        <f aca="false">IF(Data!$H282="usa",Data!$A282,"")</f>
        <v/>
      </c>
      <c r="G293" s="21" t="n">
        <f aca="false">IF(Data!$H282="japan",Data!$A282,"")</f>
        <v>29.5</v>
      </c>
      <c r="H293" s="1" t="str">
        <f aca="false">IF(Data!$H282="europe",Data!$A282,"")</f>
        <v/>
      </c>
    </row>
    <row r="294" customFormat="false" ht="15" hidden="false" customHeight="true" outlineLevel="0" collapsed="false">
      <c r="F294" s="21" t="n">
        <f aca="false">IF(Data!$H283="usa",Data!$A283,"")</f>
        <v>21.5</v>
      </c>
      <c r="G294" s="1" t="str">
        <f aca="false">IF(Data!$H283="japan",Data!$A283,"")</f>
        <v/>
      </c>
      <c r="H294" s="1" t="str">
        <f aca="false">IF(Data!$H283="europe",Data!$A283,"")</f>
        <v/>
      </c>
    </row>
    <row r="295" customFormat="false" ht="15" hidden="false" customHeight="true" outlineLevel="0" collapsed="false">
      <c r="F295" s="21" t="n">
        <f aca="false">IF(Data!$H284="usa",Data!$A284,"")</f>
        <v>19.8</v>
      </c>
      <c r="G295" s="1" t="str">
        <f aca="false">IF(Data!$H284="japan",Data!$A284,"")</f>
        <v/>
      </c>
      <c r="H295" s="1" t="str">
        <f aca="false">IF(Data!$H284="europe",Data!$A284,"")</f>
        <v/>
      </c>
    </row>
    <row r="296" customFormat="false" ht="15" hidden="false" customHeight="true" outlineLevel="0" collapsed="false">
      <c r="F296" s="21" t="n">
        <f aca="false">IF(Data!$H285="usa",Data!$A285,"")</f>
        <v>22.3</v>
      </c>
      <c r="G296" s="1" t="str">
        <f aca="false">IF(Data!$H285="japan",Data!$A285,"")</f>
        <v/>
      </c>
      <c r="H296" s="1" t="str">
        <f aca="false">IF(Data!$H285="europe",Data!$A285,"")</f>
        <v/>
      </c>
    </row>
    <row r="297" customFormat="false" ht="15" hidden="false" customHeight="true" outlineLevel="0" collapsed="false">
      <c r="F297" s="21" t="n">
        <f aca="false">IF(Data!$H286="usa",Data!$A286,"")</f>
        <v>20.2</v>
      </c>
      <c r="G297" s="1" t="str">
        <f aca="false">IF(Data!$H286="japan",Data!$A286,"")</f>
        <v/>
      </c>
      <c r="H297" s="1" t="str">
        <f aca="false">IF(Data!$H286="europe",Data!$A286,"")</f>
        <v/>
      </c>
    </row>
    <row r="298" customFormat="false" ht="15" hidden="false" customHeight="true" outlineLevel="0" collapsed="false">
      <c r="F298" s="21" t="n">
        <f aca="false">IF(Data!$H287="usa",Data!$A287,"")</f>
        <v>20.6</v>
      </c>
      <c r="G298" s="1" t="str">
        <f aca="false">IF(Data!$H287="japan",Data!$A287,"")</f>
        <v/>
      </c>
      <c r="H298" s="1" t="str">
        <f aca="false">IF(Data!$H287="europe",Data!$A287,"")</f>
        <v/>
      </c>
    </row>
    <row r="299" customFormat="false" ht="15" hidden="false" customHeight="true" outlineLevel="0" collapsed="false">
      <c r="F299" s="21" t="n">
        <f aca="false">IF(Data!$H288="usa",Data!$A288,"")</f>
        <v>17</v>
      </c>
      <c r="G299" s="1" t="str">
        <f aca="false">IF(Data!$H288="japan",Data!$A288,"")</f>
        <v/>
      </c>
      <c r="H299" s="1" t="str">
        <f aca="false">IF(Data!$H288="europe",Data!$A288,"")</f>
        <v/>
      </c>
    </row>
    <row r="300" customFormat="false" ht="15" hidden="false" customHeight="true" outlineLevel="0" collapsed="false">
      <c r="F300" s="21" t="n">
        <f aca="false">IF(Data!$H289="usa",Data!$A289,"")</f>
        <v>17.6</v>
      </c>
      <c r="G300" s="1" t="str">
        <f aca="false">IF(Data!$H289="japan",Data!$A289,"")</f>
        <v/>
      </c>
      <c r="H300" s="1" t="str">
        <f aca="false">IF(Data!$H289="europe",Data!$A289,"")</f>
        <v/>
      </c>
    </row>
    <row r="301" customFormat="false" ht="15" hidden="false" customHeight="true" outlineLevel="0" collapsed="false">
      <c r="F301" s="21" t="n">
        <f aca="false">IF(Data!$H290="usa",Data!$A290,"")</f>
        <v>16.5</v>
      </c>
      <c r="G301" s="1" t="str">
        <f aca="false">IF(Data!$H290="japan",Data!$A290,"")</f>
        <v/>
      </c>
      <c r="H301" s="1" t="str">
        <f aca="false">IF(Data!$H290="europe",Data!$A290,"")</f>
        <v/>
      </c>
    </row>
    <row r="302" customFormat="false" ht="15" hidden="false" customHeight="true" outlineLevel="0" collapsed="false">
      <c r="F302" s="21" t="n">
        <f aca="false">IF(Data!$H291="usa",Data!$A291,"")</f>
        <v>18.2</v>
      </c>
      <c r="G302" s="1" t="str">
        <f aca="false">IF(Data!$H291="japan",Data!$A291,"")</f>
        <v/>
      </c>
      <c r="H302" s="1" t="str">
        <f aca="false">IF(Data!$H291="europe",Data!$A291,"")</f>
        <v/>
      </c>
    </row>
    <row r="303" customFormat="false" ht="15" hidden="false" customHeight="true" outlineLevel="0" collapsed="false">
      <c r="F303" s="21" t="n">
        <f aca="false">IF(Data!$H292="usa",Data!$A292,"")</f>
        <v>16.9</v>
      </c>
      <c r="G303" s="1" t="str">
        <f aca="false">IF(Data!$H292="japan",Data!$A292,"")</f>
        <v/>
      </c>
      <c r="H303" s="1" t="str">
        <f aca="false">IF(Data!$H292="europe",Data!$A292,"")</f>
        <v/>
      </c>
    </row>
    <row r="304" customFormat="false" ht="15" hidden="false" customHeight="true" outlineLevel="0" collapsed="false">
      <c r="F304" s="21" t="n">
        <f aca="false">IF(Data!$H293="usa",Data!$A293,"")</f>
        <v>15.5</v>
      </c>
      <c r="G304" s="1" t="str">
        <f aca="false">IF(Data!$H293="japan",Data!$A293,"")</f>
        <v/>
      </c>
      <c r="H304" s="1" t="str">
        <f aca="false">IF(Data!$H293="europe",Data!$A293,"")</f>
        <v/>
      </c>
    </row>
    <row r="305" customFormat="false" ht="15" hidden="false" customHeight="true" outlineLevel="0" collapsed="false">
      <c r="F305" s="21" t="n">
        <f aca="false">IF(Data!$H294="usa",Data!$A294,"")</f>
        <v>19.2</v>
      </c>
      <c r="G305" s="1" t="str">
        <f aca="false">IF(Data!$H294="japan",Data!$A294,"")</f>
        <v/>
      </c>
      <c r="H305" s="1" t="str">
        <f aca="false">IF(Data!$H294="europe",Data!$A294,"")</f>
        <v/>
      </c>
    </row>
    <row r="306" customFormat="false" ht="15" hidden="false" customHeight="true" outlineLevel="0" collapsed="false">
      <c r="F306" s="21" t="n">
        <f aca="false">IF(Data!$H295="usa",Data!$A295,"")</f>
        <v>18.5</v>
      </c>
      <c r="G306" s="1" t="str">
        <f aca="false">IF(Data!$H295="japan",Data!$A295,"")</f>
        <v/>
      </c>
      <c r="H306" s="1" t="str">
        <f aca="false">IF(Data!$H295="europe",Data!$A295,"")</f>
        <v/>
      </c>
    </row>
    <row r="307" customFormat="false" ht="15" hidden="false" customHeight="true" outlineLevel="0" collapsed="false">
      <c r="F307" s="1" t="str">
        <f aca="false">IF(Data!$H296="usa",Data!$A296,"")</f>
        <v/>
      </c>
      <c r="G307" s="1" t="str">
        <f aca="false">IF(Data!$H296="japan",Data!$A296,"")</f>
        <v/>
      </c>
      <c r="H307" s="21" t="n">
        <f aca="false">IF(Data!$H296="europe",Data!$A296,"")</f>
        <v>31.9</v>
      </c>
    </row>
    <row r="308" customFormat="false" ht="15" hidden="false" customHeight="true" outlineLevel="0" collapsed="false">
      <c r="F308" s="1" t="str">
        <f aca="false">IF(Data!$H297="usa",Data!$A297,"")</f>
        <v/>
      </c>
      <c r="G308" s="21" t="n">
        <f aca="false">IF(Data!$H297="japan",Data!$A297,"")</f>
        <v>34.1</v>
      </c>
      <c r="H308" s="1" t="str">
        <f aca="false">IF(Data!$H297="europe",Data!$A297,"")</f>
        <v/>
      </c>
    </row>
    <row r="309" customFormat="false" ht="15" hidden="false" customHeight="true" outlineLevel="0" collapsed="false">
      <c r="F309" s="21" t="n">
        <f aca="false">IF(Data!$H298="usa",Data!$A298,"")</f>
        <v>35.7</v>
      </c>
      <c r="G309" s="1" t="str">
        <f aca="false">IF(Data!$H298="japan",Data!$A298,"")</f>
        <v/>
      </c>
      <c r="H309" s="1" t="str">
        <f aca="false">IF(Data!$H298="europe",Data!$A298,"")</f>
        <v/>
      </c>
    </row>
    <row r="310" customFormat="false" ht="15" hidden="false" customHeight="true" outlineLevel="0" collapsed="false">
      <c r="F310" s="21" t="n">
        <f aca="false">IF(Data!$H299="usa",Data!$A299,"")</f>
        <v>27.4</v>
      </c>
      <c r="G310" s="1" t="str">
        <f aca="false">IF(Data!$H299="japan",Data!$A299,"")</f>
        <v/>
      </c>
      <c r="H310" s="1" t="str">
        <f aca="false">IF(Data!$H299="europe",Data!$A299,"")</f>
        <v/>
      </c>
    </row>
    <row r="311" customFormat="false" ht="15" hidden="false" customHeight="true" outlineLevel="0" collapsed="false">
      <c r="F311" s="1" t="str">
        <f aca="false">IF(Data!$H300="usa",Data!$A300,"")</f>
        <v/>
      </c>
      <c r="G311" s="1" t="str">
        <f aca="false">IF(Data!$H300="japan",Data!$A300,"")</f>
        <v/>
      </c>
      <c r="H311" s="21" t="n">
        <f aca="false">IF(Data!$H300="europe",Data!$A300,"")</f>
        <v>25.4</v>
      </c>
    </row>
    <row r="312" customFormat="false" ht="15" hidden="false" customHeight="true" outlineLevel="0" collapsed="false">
      <c r="F312" s="21" t="n">
        <f aca="false">IF(Data!$H301="usa",Data!$A301,"")</f>
        <v>23</v>
      </c>
      <c r="G312" s="1" t="str">
        <f aca="false">IF(Data!$H301="japan",Data!$A301,"")</f>
        <v/>
      </c>
      <c r="H312" s="1" t="str">
        <f aca="false">IF(Data!$H301="europe",Data!$A301,"")</f>
        <v/>
      </c>
    </row>
    <row r="313" customFormat="false" ht="15" hidden="false" customHeight="true" outlineLevel="0" collapsed="false">
      <c r="F313" s="1" t="str">
        <f aca="false">IF(Data!$H302="usa",Data!$A302,"")</f>
        <v/>
      </c>
      <c r="G313" s="1" t="str">
        <f aca="false">IF(Data!$H302="japan",Data!$A302,"")</f>
        <v/>
      </c>
      <c r="H313" s="21" t="n">
        <f aca="false">IF(Data!$H302="europe",Data!$A302,"")</f>
        <v>27.2</v>
      </c>
    </row>
    <row r="314" customFormat="false" ht="15" hidden="false" customHeight="true" outlineLevel="0" collapsed="false">
      <c r="F314" s="21" t="n">
        <f aca="false">IF(Data!$H303="usa",Data!$A303,"")</f>
        <v>23.9</v>
      </c>
      <c r="G314" s="1" t="str">
        <f aca="false">IF(Data!$H303="japan",Data!$A303,"")</f>
        <v/>
      </c>
      <c r="H314" s="1" t="str">
        <f aca="false">IF(Data!$H303="europe",Data!$A303,"")</f>
        <v/>
      </c>
    </row>
    <row r="315" customFormat="false" ht="15" hidden="false" customHeight="true" outlineLevel="0" collapsed="false">
      <c r="F315" s="21" t="n">
        <f aca="false">IF(Data!$H304="usa",Data!$A304,"")</f>
        <v>34.2</v>
      </c>
      <c r="G315" s="1" t="str">
        <f aca="false">IF(Data!$H304="japan",Data!$A304,"")</f>
        <v/>
      </c>
      <c r="H315" s="1" t="str">
        <f aca="false">IF(Data!$H304="europe",Data!$A304,"")</f>
        <v/>
      </c>
    </row>
    <row r="316" customFormat="false" ht="15" hidden="false" customHeight="true" outlineLevel="0" collapsed="false">
      <c r="F316" s="21" t="n">
        <f aca="false">IF(Data!$H305="usa",Data!$A305,"")</f>
        <v>34.5</v>
      </c>
      <c r="G316" s="1" t="str">
        <f aca="false">IF(Data!$H305="japan",Data!$A305,"")</f>
        <v/>
      </c>
      <c r="H316" s="1" t="str">
        <f aca="false">IF(Data!$H305="europe",Data!$A305,"")</f>
        <v/>
      </c>
    </row>
    <row r="317" customFormat="false" ht="15" hidden="false" customHeight="true" outlineLevel="0" collapsed="false">
      <c r="F317" s="1" t="str">
        <f aca="false">IF(Data!$H306="usa",Data!$A306,"")</f>
        <v/>
      </c>
      <c r="G317" s="21" t="n">
        <f aca="false">IF(Data!$H306="japan",Data!$A306,"")</f>
        <v>31.8</v>
      </c>
      <c r="H317" s="1" t="str">
        <f aca="false">IF(Data!$H306="europe",Data!$A306,"")</f>
        <v/>
      </c>
    </row>
    <row r="318" customFormat="false" ht="15" hidden="false" customHeight="true" outlineLevel="0" collapsed="false">
      <c r="F318" s="1" t="str">
        <f aca="false">IF(Data!$H307="usa",Data!$A307,"")</f>
        <v/>
      </c>
      <c r="G318" s="1" t="str">
        <f aca="false">IF(Data!$H307="japan",Data!$A307,"")</f>
        <v/>
      </c>
      <c r="H318" s="21" t="n">
        <f aca="false">IF(Data!$H307="europe",Data!$A307,"")</f>
        <v>37.3</v>
      </c>
    </row>
    <row r="319" customFormat="false" ht="15" hidden="false" customHeight="true" outlineLevel="0" collapsed="false">
      <c r="F319" s="21" t="n">
        <f aca="false">IF(Data!$H308="usa",Data!$A308,"")</f>
        <v>28.4</v>
      </c>
      <c r="G319" s="1" t="str">
        <f aca="false">IF(Data!$H308="japan",Data!$A308,"")</f>
        <v/>
      </c>
      <c r="H319" s="1" t="str">
        <f aca="false">IF(Data!$H308="europe",Data!$A308,"")</f>
        <v/>
      </c>
    </row>
    <row r="320" customFormat="false" ht="15" hidden="false" customHeight="true" outlineLevel="0" collapsed="false">
      <c r="F320" s="21" t="n">
        <f aca="false">IF(Data!$H309="usa",Data!$A309,"")</f>
        <v>28.8</v>
      </c>
      <c r="G320" s="1" t="str">
        <f aca="false">IF(Data!$H309="japan",Data!$A309,"")</f>
        <v/>
      </c>
      <c r="H320" s="1" t="str">
        <f aca="false">IF(Data!$H309="europe",Data!$A309,"")</f>
        <v/>
      </c>
    </row>
    <row r="321" customFormat="false" ht="15" hidden="false" customHeight="true" outlineLevel="0" collapsed="false">
      <c r="F321" s="21" t="n">
        <f aca="false">IF(Data!$H310="usa",Data!$A310,"")</f>
        <v>26.8</v>
      </c>
      <c r="G321" s="1" t="str">
        <f aca="false">IF(Data!$H310="japan",Data!$A310,"")</f>
        <v/>
      </c>
      <c r="H321" s="1" t="str">
        <f aca="false">IF(Data!$H310="europe",Data!$A310,"")</f>
        <v/>
      </c>
    </row>
    <row r="322" customFormat="false" ht="15" hidden="false" customHeight="true" outlineLevel="0" collapsed="false">
      <c r="F322" s="21" t="n">
        <f aca="false">IF(Data!$H311="usa",Data!$A311,"")</f>
        <v>33.5</v>
      </c>
      <c r="G322" s="1" t="str">
        <f aca="false">IF(Data!$H311="japan",Data!$A311,"")</f>
        <v/>
      </c>
      <c r="H322" s="1" t="str">
        <f aca="false">IF(Data!$H311="europe",Data!$A311,"")</f>
        <v/>
      </c>
    </row>
    <row r="323" customFormat="false" ht="15" hidden="false" customHeight="true" outlineLevel="0" collapsed="false">
      <c r="F323" s="1" t="str">
        <f aca="false">IF(Data!$H312="usa",Data!$A312,"")</f>
        <v/>
      </c>
      <c r="G323" s="1" t="str">
        <f aca="false">IF(Data!$H312="japan",Data!$A312,"")</f>
        <v/>
      </c>
      <c r="H323" s="21" t="n">
        <f aca="false">IF(Data!$H312="europe",Data!$A312,"")</f>
        <v>41.5</v>
      </c>
    </row>
    <row r="324" customFormat="false" ht="15" hidden="false" customHeight="true" outlineLevel="0" collapsed="false">
      <c r="F324" s="1" t="str">
        <f aca="false">IF(Data!$H313="usa",Data!$A313,"")</f>
        <v/>
      </c>
      <c r="G324" s="21" t="n">
        <f aca="false">IF(Data!$H313="japan",Data!$A313,"")</f>
        <v>38.1</v>
      </c>
      <c r="H324" s="1" t="str">
        <f aca="false">IF(Data!$H313="europe",Data!$A313,"")</f>
        <v/>
      </c>
    </row>
    <row r="325" customFormat="false" ht="15" hidden="false" customHeight="true" outlineLevel="0" collapsed="false">
      <c r="F325" s="21" t="n">
        <f aca="false">IF(Data!$H314="usa",Data!$A314,"")</f>
        <v>32.1</v>
      </c>
      <c r="G325" s="1" t="str">
        <f aca="false">IF(Data!$H314="japan",Data!$A314,"")</f>
        <v/>
      </c>
      <c r="H325" s="1" t="str">
        <f aca="false">IF(Data!$H314="europe",Data!$A314,"")</f>
        <v/>
      </c>
    </row>
    <row r="326" customFormat="false" ht="15" hidden="false" customHeight="true" outlineLevel="0" collapsed="false">
      <c r="F326" s="1" t="str">
        <f aca="false">IF(Data!$H315="usa",Data!$A315,"")</f>
        <v/>
      </c>
      <c r="G326" s="21" t="n">
        <f aca="false">IF(Data!$H315="japan",Data!$A315,"")</f>
        <v>37.2</v>
      </c>
      <c r="H326" s="1" t="str">
        <f aca="false">IF(Data!$H315="europe",Data!$A315,"")</f>
        <v/>
      </c>
    </row>
    <row r="327" customFormat="false" ht="15" hidden="false" customHeight="true" outlineLevel="0" collapsed="false">
      <c r="F327" s="21" t="n">
        <f aca="false">IF(Data!$H316="usa",Data!$A316,"")</f>
        <v>28</v>
      </c>
      <c r="G327" s="1" t="str">
        <f aca="false">IF(Data!$H316="japan",Data!$A316,"")</f>
        <v/>
      </c>
      <c r="H327" s="1" t="str">
        <f aca="false">IF(Data!$H316="europe",Data!$A316,"")</f>
        <v/>
      </c>
    </row>
    <row r="328" customFormat="false" ht="15" hidden="false" customHeight="true" outlineLevel="0" collapsed="false">
      <c r="F328" s="21" t="n">
        <f aca="false">IF(Data!$H317="usa",Data!$A317,"")</f>
        <v>26.4</v>
      </c>
      <c r="G328" s="1" t="str">
        <f aca="false">IF(Data!$H317="japan",Data!$A317,"")</f>
        <v/>
      </c>
      <c r="H328" s="1" t="str">
        <f aca="false">IF(Data!$H317="europe",Data!$A317,"")</f>
        <v/>
      </c>
    </row>
    <row r="329" customFormat="false" ht="15" hidden="false" customHeight="true" outlineLevel="0" collapsed="false">
      <c r="F329" s="21" t="n">
        <f aca="false">IF(Data!$H318="usa",Data!$A318,"")</f>
        <v>24.3</v>
      </c>
      <c r="G329" s="1" t="str">
        <f aca="false">IF(Data!$H318="japan",Data!$A318,"")</f>
        <v/>
      </c>
      <c r="H329" s="1" t="str">
        <f aca="false">IF(Data!$H318="europe",Data!$A318,"")</f>
        <v/>
      </c>
    </row>
    <row r="330" customFormat="false" ht="15" hidden="false" customHeight="true" outlineLevel="0" collapsed="false">
      <c r="F330" s="21" t="n">
        <f aca="false">IF(Data!$H319="usa",Data!$A319,"")</f>
        <v>19.1</v>
      </c>
      <c r="G330" s="1" t="str">
        <f aca="false">IF(Data!$H319="japan",Data!$A319,"")</f>
        <v/>
      </c>
      <c r="H330" s="1" t="str">
        <f aca="false">IF(Data!$H319="europe",Data!$A319,"")</f>
        <v/>
      </c>
    </row>
    <row r="331" customFormat="false" ht="15" hidden="false" customHeight="true" outlineLevel="0" collapsed="false">
      <c r="F331" s="1" t="str">
        <f aca="false">IF(Data!$H320="usa",Data!$A320,"")</f>
        <v/>
      </c>
      <c r="G331" s="1" t="str">
        <f aca="false">IF(Data!$H320="japan",Data!$A320,"")</f>
        <v/>
      </c>
      <c r="H331" s="21" t="n">
        <f aca="false">IF(Data!$H320="europe",Data!$A320,"")</f>
        <v>34.3</v>
      </c>
    </row>
    <row r="332" customFormat="false" ht="15" hidden="false" customHeight="true" outlineLevel="0" collapsed="false">
      <c r="F332" s="1" t="str">
        <f aca="false">IF(Data!$H321="usa",Data!$A321,"")</f>
        <v/>
      </c>
      <c r="G332" s="21" t="n">
        <f aca="false">IF(Data!$H321="japan",Data!$A321,"")</f>
        <v>29.8</v>
      </c>
      <c r="H332" s="1" t="str">
        <f aca="false">IF(Data!$H321="europe",Data!$A321,"")</f>
        <v/>
      </c>
    </row>
    <row r="333" customFormat="false" ht="15" hidden="false" customHeight="true" outlineLevel="0" collapsed="false">
      <c r="F333" s="1" t="str">
        <f aca="false">IF(Data!$H322="usa",Data!$A322,"")</f>
        <v/>
      </c>
      <c r="G333" s="21" t="n">
        <f aca="false">IF(Data!$H322="japan",Data!$A322,"")</f>
        <v>31.3</v>
      </c>
      <c r="H333" s="1" t="str">
        <f aca="false">IF(Data!$H322="europe",Data!$A322,"")</f>
        <v/>
      </c>
    </row>
    <row r="334" customFormat="false" ht="15" hidden="false" customHeight="true" outlineLevel="0" collapsed="false">
      <c r="F334" s="1" t="str">
        <f aca="false">IF(Data!$H323="usa",Data!$A323,"")</f>
        <v/>
      </c>
      <c r="G334" s="21" t="n">
        <f aca="false">IF(Data!$H323="japan",Data!$A323,"")</f>
        <v>37</v>
      </c>
      <c r="H334" s="1" t="str">
        <f aca="false">IF(Data!$H323="europe",Data!$A323,"")</f>
        <v/>
      </c>
    </row>
    <row r="335" customFormat="false" ht="15" hidden="false" customHeight="true" outlineLevel="0" collapsed="false">
      <c r="F335" s="1" t="str">
        <f aca="false">IF(Data!$H324="usa",Data!$A324,"")</f>
        <v/>
      </c>
      <c r="G335" s="21" t="n">
        <f aca="false">IF(Data!$H324="japan",Data!$A324,"")</f>
        <v>32.2</v>
      </c>
      <c r="H335" s="1" t="str">
        <f aca="false">IF(Data!$H324="europe",Data!$A324,"")</f>
        <v/>
      </c>
    </row>
    <row r="336" customFormat="false" ht="15" hidden="false" customHeight="true" outlineLevel="0" collapsed="false">
      <c r="F336" s="1" t="str">
        <f aca="false">IF(Data!$H325="usa",Data!$A325,"")</f>
        <v/>
      </c>
      <c r="G336" s="21" t="n">
        <f aca="false">IF(Data!$H325="japan",Data!$A325,"")</f>
        <v>46.6</v>
      </c>
      <c r="H336" s="1" t="str">
        <f aca="false">IF(Data!$H325="europe",Data!$A325,"")</f>
        <v/>
      </c>
    </row>
    <row r="337" customFormat="false" ht="15" hidden="false" customHeight="true" outlineLevel="0" collapsed="false">
      <c r="F337" s="21" t="n">
        <f aca="false">IF(Data!$H326="usa",Data!$A326,"")</f>
        <v>27.9</v>
      </c>
      <c r="G337" s="1" t="str">
        <f aca="false">IF(Data!$H326="japan",Data!$A326,"")</f>
        <v/>
      </c>
      <c r="H337" s="1" t="str">
        <f aca="false">IF(Data!$H326="europe",Data!$A326,"")</f>
        <v/>
      </c>
    </row>
    <row r="338" customFormat="false" ht="15" hidden="false" customHeight="true" outlineLevel="0" collapsed="false">
      <c r="F338" s="1" t="str">
        <f aca="false">IF(Data!$H327="usa",Data!$A327,"")</f>
        <v/>
      </c>
      <c r="G338" s="21" t="n">
        <f aca="false">IF(Data!$H327="japan",Data!$A327,"")</f>
        <v>40.8</v>
      </c>
      <c r="H338" s="1" t="str">
        <f aca="false">IF(Data!$H327="europe",Data!$A327,"")</f>
        <v/>
      </c>
    </row>
    <row r="339" customFormat="false" ht="15" hidden="false" customHeight="true" outlineLevel="0" collapsed="false">
      <c r="F339" s="1" t="str">
        <f aca="false">IF(Data!$H328="usa",Data!$A328,"")</f>
        <v/>
      </c>
      <c r="G339" s="1" t="str">
        <f aca="false">IF(Data!$H328="japan",Data!$A328,"")</f>
        <v/>
      </c>
      <c r="H339" s="21" t="n">
        <f aca="false">IF(Data!$H328="europe",Data!$A328,"")</f>
        <v>44.3</v>
      </c>
    </row>
    <row r="340" customFormat="false" ht="15" hidden="false" customHeight="true" outlineLevel="0" collapsed="false">
      <c r="F340" s="1" t="str">
        <f aca="false">IF(Data!$H329="usa",Data!$A329,"")</f>
        <v/>
      </c>
      <c r="G340" s="1" t="str">
        <f aca="false">IF(Data!$H329="japan",Data!$A329,"")</f>
        <v/>
      </c>
      <c r="H340" s="21" t="n">
        <f aca="false">IF(Data!$H329="europe",Data!$A329,"")</f>
        <v>43.4</v>
      </c>
    </row>
    <row r="341" customFormat="false" ht="15" hidden="false" customHeight="true" outlineLevel="0" collapsed="false">
      <c r="F341" s="1" t="str">
        <f aca="false">IF(Data!$H330="usa",Data!$A330,"")</f>
        <v/>
      </c>
      <c r="G341" s="1" t="str">
        <f aca="false">IF(Data!$H330="japan",Data!$A330,"")</f>
        <v/>
      </c>
      <c r="H341" s="21" t="n">
        <f aca="false">IF(Data!$H330="europe",Data!$A330,"")</f>
        <v>36.4</v>
      </c>
    </row>
    <row r="342" customFormat="false" ht="15" hidden="false" customHeight="true" outlineLevel="0" collapsed="false">
      <c r="F342" s="1" t="str">
        <f aca="false">IF(Data!$H331="usa",Data!$A331,"")</f>
        <v/>
      </c>
      <c r="G342" s="1" t="str">
        <f aca="false">IF(Data!$H331="japan",Data!$A331,"")</f>
        <v/>
      </c>
      <c r="H342" s="21" t="n">
        <f aca="false">IF(Data!$H331="europe",Data!$A331,"")</f>
        <v>30</v>
      </c>
    </row>
    <row r="343" customFormat="false" ht="15" hidden="false" customHeight="true" outlineLevel="0" collapsed="false">
      <c r="F343" s="1" t="str">
        <f aca="false">IF(Data!$H332="usa",Data!$A332,"")</f>
        <v/>
      </c>
      <c r="G343" s="21" t="n">
        <f aca="false">IF(Data!$H332="japan",Data!$A332,"")</f>
        <v>44.6</v>
      </c>
      <c r="H343" s="1" t="str">
        <f aca="false">IF(Data!$H332="europe",Data!$A332,"")</f>
        <v/>
      </c>
    </row>
    <row r="344" customFormat="false" ht="15" hidden="false" customHeight="true" outlineLevel="0" collapsed="false">
      <c r="F344" s="1" t="str">
        <f aca="false">IF(Data!$H333="usa",Data!$A333,"")</f>
        <v/>
      </c>
      <c r="G344" s="1" t="str">
        <f aca="false">IF(Data!$H333="japan",Data!$A333,"")</f>
        <v/>
      </c>
      <c r="H344" s="21" t="n">
        <f aca="false">IF(Data!$H333="europe",Data!$A333,"")</f>
        <v>40.9</v>
      </c>
    </row>
    <row r="345" customFormat="false" ht="15" hidden="false" customHeight="true" outlineLevel="0" collapsed="false">
      <c r="F345" s="1" t="str">
        <f aca="false">IF(Data!$H334="usa",Data!$A334,"")</f>
        <v/>
      </c>
      <c r="G345" s="21" t="n">
        <f aca="false">IF(Data!$H334="japan",Data!$A334,"")</f>
        <v>33.8</v>
      </c>
      <c r="H345" s="1" t="str">
        <f aca="false">IF(Data!$H334="europe",Data!$A334,"")</f>
        <v/>
      </c>
    </row>
    <row r="346" customFormat="false" ht="15" hidden="false" customHeight="true" outlineLevel="0" collapsed="false">
      <c r="F346" s="1" t="str">
        <f aca="false">IF(Data!$H335="usa",Data!$A335,"")</f>
        <v/>
      </c>
      <c r="G346" s="1" t="str">
        <f aca="false">IF(Data!$H335="japan",Data!$A335,"")</f>
        <v/>
      </c>
      <c r="H346" s="21" t="n">
        <f aca="false">IF(Data!$H335="europe",Data!$A335,"")</f>
        <v>29.8</v>
      </c>
    </row>
    <row r="347" customFormat="false" ht="15" hidden="false" customHeight="true" outlineLevel="0" collapsed="false">
      <c r="F347" s="1" t="str">
        <f aca="false">IF(Data!$H336="usa",Data!$A336,"")</f>
        <v/>
      </c>
      <c r="G347" s="21" t="n">
        <f aca="false">IF(Data!$H336="japan",Data!$A336,"")</f>
        <v>32.7</v>
      </c>
      <c r="H347" s="1" t="str">
        <f aca="false">IF(Data!$H336="europe",Data!$A336,"")</f>
        <v/>
      </c>
    </row>
    <row r="348" customFormat="false" ht="15" hidden="false" customHeight="true" outlineLevel="0" collapsed="false">
      <c r="F348" s="1" t="str">
        <f aca="false">IF(Data!$H337="usa",Data!$A337,"")</f>
        <v/>
      </c>
      <c r="G348" s="21" t="n">
        <f aca="false">IF(Data!$H337="japan",Data!$A337,"")</f>
        <v>23.7</v>
      </c>
      <c r="H348" s="1" t="str">
        <f aca="false">IF(Data!$H337="europe",Data!$A337,"")</f>
        <v/>
      </c>
    </row>
    <row r="349" customFormat="false" ht="15" hidden="false" customHeight="true" outlineLevel="0" collapsed="false">
      <c r="F349" s="1" t="str">
        <f aca="false">IF(Data!$H338="usa",Data!$A338,"")</f>
        <v/>
      </c>
      <c r="G349" s="1" t="str">
        <f aca="false">IF(Data!$H338="japan",Data!$A338,"")</f>
        <v/>
      </c>
      <c r="H349" s="21" t="n">
        <f aca="false">IF(Data!$H338="europe",Data!$A338,"")</f>
        <v>35</v>
      </c>
    </row>
    <row r="350" customFormat="false" ht="15" hidden="false" customHeight="true" outlineLevel="0" collapsed="false">
      <c r="F350" s="21" t="n">
        <f aca="false">IF(Data!$H339="usa",Data!$A339,"")</f>
        <v>23.6</v>
      </c>
      <c r="G350" s="1" t="str">
        <f aca="false">IF(Data!$H339="japan",Data!$A339,"")</f>
        <v/>
      </c>
      <c r="H350" s="1" t="str">
        <f aca="false">IF(Data!$H339="europe",Data!$A339,"")</f>
        <v/>
      </c>
    </row>
    <row r="351" customFormat="false" ht="15" hidden="false" customHeight="true" outlineLevel="0" collapsed="false">
      <c r="F351" s="1" t="str">
        <f aca="false">IF(Data!$H340="usa",Data!$A340,"")</f>
        <v/>
      </c>
      <c r="G351" s="21" t="n">
        <f aca="false">IF(Data!$H340="japan",Data!$A340,"")</f>
        <v>32.4</v>
      </c>
      <c r="H351" s="1" t="str">
        <f aca="false">IF(Data!$H340="europe",Data!$A340,"")</f>
        <v/>
      </c>
    </row>
    <row r="352" customFormat="false" ht="15" hidden="false" customHeight="true" outlineLevel="0" collapsed="false">
      <c r="F352" s="21" t="n">
        <f aca="false">IF(Data!$H341="usa",Data!$A341,"")</f>
        <v>27.2</v>
      </c>
      <c r="G352" s="1" t="str">
        <f aca="false">IF(Data!$H341="japan",Data!$A341,"")</f>
        <v/>
      </c>
      <c r="H352" s="1" t="str">
        <f aca="false">IF(Data!$H341="europe",Data!$A341,"")</f>
        <v/>
      </c>
    </row>
    <row r="353" customFormat="false" ht="15" hidden="false" customHeight="true" outlineLevel="0" collapsed="false">
      <c r="F353" s="21" t="n">
        <f aca="false">IF(Data!$H342="usa",Data!$A342,"")</f>
        <v>26.6</v>
      </c>
      <c r="G353" s="1" t="str">
        <f aca="false">IF(Data!$H342="japan",Data!$A342,"")</f>
        <v/>
      </c>
      <c r="H353" s="1" t="str">
        <f aca="false">IF(Data!$H342="europe",Data!$A342,"")</f>
        <v/>
      </c>
    </row>
    <row r="354" customFormat="false" ht="15" hidden="false" customHeight="true" outlineLevel="0" collapsed="false">
      <c r="F354" s="21" t="n">
        <f aca="false">IF(Data!$H343="usa",Data!$A343,"")</f>
        <v>25.8</v>
      </c>
      <c r="G354" s="1" t="str">
        <f aca="false">IF(Data!$H343="japan",Data!$A343,"")</f>
        <v/>
      </c>
      <c r="H354" s="1" t="str">
        <f aca="false">IF(Data!$H343="europe",Data!$A343,"")</f>
        <v/>
      </c>
    </row>
    <row r="355" customFormat="false" ht="15" hidden="false" customHeight="true" outlineLevel="0" collapsed="false">
      <c r="F355" s="21" t="n">
        <f aca="false">IF(Data!$H344="usa",Data!$A344,"")</f>
        <v>23.5</v>
      </c>
      <c r="G355" s="1" t="str">
        <f aca="false">IF(Data!$H344="japan",Data!$A344,"")</f>
        <v/>
      </c>
      <c r="H355" s="1" t="str">
        <f aca="false">IF(Data!$H344="europe",Data!$A344,"")</f>
        <v/>
      </c>
    </row>
    <row r="356" customFormat="false" ht="15" hidden="false" customHeight="true" outlineLevel="0" collapsed="false">
      <c r="F356" s="21" t="n">
        <f aca="false">IF(Data!$H345="usa",Data!$A345,"")</f>
        <v>30</v>
      </c>
      <c r="G356" s="1" t="str">
        <f aca="false">IF(Data!$H345="japan",Data!$A345,"")</f>
        <v/>
      </c>
      <c r="H356" s="1" t="str">
        <f aca="false">IF(Data!$H345="europe",Data!$A345,"")</f>
        <v/>
      </c>
    </row>
    <row r="357" customFormat="false" ht="15" hidden="false" customHeight="true" outlineLevel="0" collapsed="false">
      <c r="F357" s="1" t="str">
        <f aca="false">IF(Data!$H346="usa",Data!$A346,"")</f>
        <v/>
      </c>
      <c r="G357" s="21" t="n">
        <f aca="false">IF(Data!$H346="japan",Data!$A346,"")</f>
        <v>39.1</v>
      </c>
      <c r="H357" s="1" t="str">
        <f aca="false">IF(Data!$H346="europe",Data!$A346,"")</f>
        <v/>
      </c>
    </row>
    <row r="358" customFormat="false" ht="15" hidden="false" customHeight="true" outlineLevel="0" collapsed="false">
      <c r="F358" s="21" t="n">
        <f aca="false">IF(Data!$H347="usa",Data!$A347,"")</f>
        <v>39</v>
      </c>
      <c r="G358" s="1" t="str">
        <f aca="false">IF(Data!$H347="japan",Data!$A347,"")</f>
        <v/>
      </c>
      <c r="H358" s="1" t="str">
        <f aca="false">IF(Data!$H347="europe",Data!$A347,"")</f>
        <v/>
      </c>
    </row>
    <row r="359" customFormat="false" ht="15" hidden="false" customHeight="true" outlineLevel="0" collapsed="false">
      <c r="F359" s="1" t="str">
        <f aca="false">IF(Data!$H348="usa",Data!$A348,"")</f>
        <v/>
      </c>
      <c r="G359" s="21" t="n">
        <f aca="false">IF(Data!$H348="japan",Data!$A348,"")</f>
        <v>35.1</v>
      </c>
      <c r="H359" s="1" t="str">
        <f aca="false">IF(Data!$H348="europe",Data!$A348,"")</f>
        <v/>
      </c>
    </row>
    <row r="360" customFormat="false" ht="15" hidden="false" customHeight="true" outlineLevel="0" collapsed="false">
      <c r="F360" s="1" t="str">
        <f aca="false">IF(Data!$H349="usa",Data!$A349,"")</f>
        <v/>
      </c>
      <c r="G360" s="21" t="n">
        <f aca="false">IF(Data!$H349="japan",Data!$A349,"")</f>
        <v>32.3</v>
      </c>
      <c r="H360" s="1" t="str">
        <f aca="false">IF(Data!$H349="europe",Data!$A349,"")</f>
        <v/>
      </c>
    </row>
    <row r="361" customFormat="false" ht="15" hidden="false" customHeight="true" outlineLevel="0" collapsed="false">
      <c r="F361" s="1" t="str">
        <f aca="false">IF(Data!$H350="usa",Data!$A350,"")</f>
        <v/>
      </c>
      <c r="G361" s="21" t="n">
        <f aca="false">IF(Data!$H350="japan",Data!$A350,"")</f>
        <v>37</v>
      </c>
      <c r="H361" s="1" t="str">
        <f aca="false">IF(Data!$H350="europe",Data!$A350,"")</f>
        <v/>
      </c>
    </row>
    <row r="362" customFormat="false" ht="15" hidden="false" customHeight="true" outlineLevel="0" collapsed="false">
      <c r="F362" s="1" t="str">
        <f aca="false">IF(Data!$H351="usa",Data!$A351,"")</f>
        <v/>
      </c>
      <c r="G362" s="21" t="n">
        <f aca="false">IF(Data!$H351="japan",Data!$A351,"")</f>
        <v>37.7</v>
      </c>
      <c r="H362" s="1" t="str">
        <f aca="false">IF(Data!$H351="europe",Data!$A351,"")</f>
        <v/>
      </c>
    </row>
    <row r="363" customFormat="false" ht="15" hidden="false" customHeight="true" outlineLevel="0" collapsed="false">
      <c r="F363" s="1" t="str">
        <f aca="false">IF(Data!$H352="usa",Data!$A352,"")</f>
        <v/>
      </c>
      <c r="G363" s="21" t="n">
        <f aca="false">IF(Data!$H352="japan",Data!$A352,"")</f>
        <v>34.1</v>
      </c>
      <c r="H363" s="1" t="str">
        <f aca="false">IF(Data!$H352="europe",Data!$A352,"")</f>
        <v/>
      </c>
    </row>
    <row r="364" customFormat="false" ht="15" hidden="false" customHeight="true" outlineLevel="0" collapsed="false">
      <c r="F364" s="21" t="n">
        <f aca="false">IF(Data!$H353="usa",Data!$A353,"")</f>
        <v>34.7</v>
      </c>
      <c r="G364" s="1" t="str">
        <f aca="false">IF(Data!$H353="japan",Data!$A353,"")</f>
        <v/>
      </c>
      <c r="H364" s="1" t="str">
        <f aca="false">IF(Data!$H353="europe",Data!$A353,"")</f>
        <v/>
      </c>
    </row>
    <row r="365" customFormat="false" ht="15" hidden="false" customHeight="true" outlineLevel="0" collapsed="false">
      <c r="F365" s="21" t="n">
        <f aca="false">IF(Data!$H354="usa",Data!$A354,"")</f>
        <v>34.4</v>
      </c>
      <c r="G365" s="1" t="str">
        <f aca="false">IF(Data!$H354="japan",Data!$A354,"")</f>
        <v/>
      </c>
      <c r="H365" s="1" t="str">
        <f aca="false">IF(Data!$H354="europe",Data!$A354,"")</f>
        <v/>
      </c>
    </row>
    <row r="366" customFormat="false" ht="15" hidden="false" customHeight="true" outlineLevel="0" collapsed="false">
      <c r="F366" s="21" t="n">
        <f aca="false">IF(Data!$H355="usa",Data!$A355,"")</f>
        <v>29.9</v>
      </c>
      <c r="G366" s="1" t="str">
        <f aca="false">IF(Data!$H355="japan",Data!$A355,"")</f>
        <v/>
      </c>
      <c r="H366" s="1" t="str">
        <f aca="false">IF(Data!$H355="europe",Data!$A355,"")</f>
        <v/>
      </c>
    </row>
    <row r="367" customFormat="false" ht="15" hidden="false" customHeight="true" outlineLevel="0" collapsed="false">
      <c r="F367" s="1" t="str">
        <f aca="false">IF(Data!$H356="usa",Data!$A356,"")</f>
        <v/>
      </c>
      <c r="G367" s="1" t="str">
        <f aca="false">IF(Data!$H356="japan",Data!$A356,"")</f>
        <v/>
      </c>
      <c r="H367" s="21" t="n">
        <f aca="false">IF(Data!$H356="europe",Data!$A356,"")</f>
        <v>33</v>
      </c>
    </row>
    <row r="368" customFormat="false" ht="15" hidden="false" customHeight="true" outlineLevel="0" collapsed="false">
      <c r="F368" s="1" t="str">
        <f aca="false">IF(Data!$H357="usa",Data!$A357,"")</f>
        <v/>
      </c>
      <c r="G368" s="1" t="str">
        <f aca="false">IF(Data!$H357="japan",Data!$A357,"")</f>
        <v/>
      </c>
      <c r="H368" s="21" t="n">
        <f aca="false">IF(Data!$H357="europe",Data!$A357,"")</f>
        <v>34.5</v>
      </c>
    </row>
    <row r="369" customFormat="false" ht="15" hidden="false" customHeight="true" outlineLevel="0" collapsed="false">
      <c r="F369" s="1" t="str">
        <f aca="false">IF(Data!$H358="usa",Data!$A358,"")</f>
        <v/>
      </c>
      <c r="G369" s="21" t="n">
        <f aca="false">IF(Data!$H358="japan",Data!$A358,"")</f>
        <v>33.7</v>
      </c>
      <c r="H369" s="1" t="str">
        <f aca="false">IF(Data!$H358="europe",Data!$A358,"")</f>
        <v/>
      </c>
    </row>
    <row r="370" customFormat="false" ht="15" hidden="false" customHeight="true" outlineLevel="0" collapsed="false">
      <c r="F370" s="1" t="str">
        <f aca="false">IF(Data!$H359="usa",Data!$A359,"")</f>
        <v/>
      </c>
      <c r="G370" s="21" t="n">
        <f aca="false">IF(Data!$H359="japan",Data!$A359,"")</f>
        <v>32.4</v>
      </c>
      <c r="H370" s="1" t="str">
        <f aca="false">IF(Data!$H359="europe",Data!$A359,"")</f>
        <v/>
      </c>
    </row>
    <row r="371" customFormat="false" ht="15" hidden="false" customHeight="true" outlineLevel="0" collapsed="false">
      <c r="F371" s="1" t="str">
        <f aca="false">IF(Data!$H360="usa",Data!$A360,"")</f>
        <v/>
      </c>
      <c r="G371" s="21" t="n">
        <f aca="false">IF(Data!$H360="japan",Data!$A360,"")</f>
        <v>32.9</v>
      </c>
      <c r="H371" s="1" t="str">
        <f aca="false">IF(Data!$H360="europe",Data!$A360,"")</f>
        <v/>
      </c>
    </row>
    <row r="372" customFormat="false" ht="15" hidden="false" customHeight="true" outlineLevel="0" collapsed="false">
      <c r="F372" s="1" t="str">
        <f aca="false">IF(Data!$H361="usa",Data!$A361,"")</f>
        <v/>
      </c>
      <c r="G372" s="21" t="n">
        <f aca="false">IF(Data!$H361="japan",Data!$A361,"")</f>
        <v>31.6</v>
      </c>
      <c r="H372" s="1" t="str">
        <f aca="false">IF(Data!$H361="europe",Data!$A361,"")</f>
        <v/>
      </c>
    </row>
    <row r="373" customFormat="false" ht="15" hidden="false" customHeight="true" outlineLevel="0" collapsed="false">
      <c r="F373" s="1" t="str">
        <f aca="false">IF(Data!$H362="usa",Data!$A362,"")</f>
        <v/>
      </c>
      <c r="G373" s="1" t="str">
        <f aca="false">IF(Data!$H362="japan",Data!$A362,"")</f>
        <v/>
      </c>
      <c r="H373" s="21" t="n">
        <f aca="false">IF(Data!$H362="europe",Data!$A362,"")</f>
        <v>28.1</v>
      </c>
    </row>
    <row r="374" customFormat="false" ht="15" hidden="false" customHeight="true" outlineLevel="0" collapsed="false">
      <c r="F374" s="1" t="str">
        <f aca="false">IF(Data!$H363="usa",Data!$A363,"")</f>
        <v/>
      </c>
      <c r="G374" s="1" t="str">
        <f aca="false">IF(Data!$H363="japan",Data!$A363,"")</f>
        <v/>
      </c>
      <c r="H374" s="21" t="n">
        <f aca="false">IF(Data!$H363="europe",Data!$A363,"")</f>
        <v>30.7</v>
      </c>
    </row>
    <row r="375" customFormat="false" ht="15" hidden="false" customHeight="true" outlineLevel="0" collapsed="false">
      <c r="F375" s="1" t="str">
        <f aca="false">IF(Data!$H364="usa",Data!$A364,"")</f>
        <v/>
      </c>
      <c r="G375" s="21" t="n">
        <f aca="false">IF(Data!$H364="japan",Data!$A364,"")</f>
        <v>25.4</v>
      </c>
      <c r="H375" s="1" t="str">
        <f aca="false">IF(Data!$H364="europe",Data!$A364,"")</f>
        <v/>
      </c>
    </row>
    <row r="376" customFormat="false" ht="15" hidden="false" customHeight="true" outlineLevel="0" collapsed="false">
      <c r="F376" s="1" t="str">
        <f aca="false">IF(Data!$H365="usa",Data!$A365,"")</f>
        <v/>
      </c>
      <c r="G376" s="21" t="n">
        <f aca="false">IF(Data!$H365="japan",Data!$A365,"")</f>
        <v>24.2</v>
      </c>
      <c r="H376" s="1" t="str">
        <f aca="false">IF(Data!$H365="europe",Data!$A365,"")</f>
        <v/>
      </c>
    </row>
    <row r="377" customFormat="false" ht="15" hidden="false" customHeight="true" outlineLevel="0" collapsed="false">
      <c r="F377" s="21" t="n">
        <f aca="false">IF(Data!$H366="usa",Data!$A366,"")</f>
        <v>22.4</v>
      </c>
      <c r="G377" s="1" t="str">
        <f aca="false">IF(Data!$H366="japan",Data!$A366,"")</f>
        <v/>
      </c>
      <c r="H377" s="1" t="str">
        <f aca="false">IF(Data!$H366="europe",Data!$A366,"")</f>
        <v/>
      </c>
    </row>
    <row r="378" customFormat="false" ht="15" hidden="false" customHeight="true" outlineLevel="0" collapsed="false">
      <c r="F378" s="21" t="n">
        <f aca="false">IF(Data!$H367="usa",Data!$A367,"")</f>
        <v>26.6</v>
      </c>
      <c r="G378" s="1" t="str">
        <f aca="false">IF(Data!$H367="japan",Data!$A367,"")</f>
        <v/>
      </c>
      <c r="H378" s="1" t="str">
        <f aca="false">IF(Data!$H367="europe",Data!$A367,"")</f>
        <v/>
      </c>
    </row>
    <row r="379" customFormat="false" ht="15" hidden="false" customHeight="true" outlineLevel="0" collapsed="false">
      <c r="F379" s="21" t="n">
        <f aca="false">IF(Data!$H368="usa",Data!$A368,"")</f>
        <v>20.2</v>
      </c>
      <c r="G379" s="1" t="str">
        <f aca="false">IF(Data!$H368="japan",Data!$A368,"")</f>
        <v/>
      </c>
      <c r="H379" s="1" t="str">
        <f aca="false">IF(Data!$H368="europe",Data!$A368,"")</f>
        <v/>
      </c>
    </row>
    <row r="380" customFormat="false" ht="15" hidden="false" customHeight="true" outlineLevel="0" collapsed="false">
      <c r="F380" s="21" t="n">
        <f aca="false">IF(Data!$H369="usa",Data!$A369,"")</f>
        <v>17.6</v>
      </c>
      <c r="G380" s="1" t="str">
        <f aca="false">IF(Data!$H369="japan",Data!$A369,"")</f>
        <v/>
      </c>
      <c r="H380" s="1" t="str">
        <f aca="false">IF(Data!$H369="europe",Data!$A369,"")</f>
        <v/>
      </c>
    </row>
    <row r="381" customFormat="false" ht="15" hidden="false" customHeight="true" outlineLevel="0" collapsed="false">
      <c r="F381" s="21" t="n">
        <f aca="false">IF(Data!$H370="usa",Data!$A370,"")</f>
        <v>28</v>
      </c>
      <c r="G381" s="1" t="str">
        <f aca="false">IF(Data!$H370="japan",Data!$A370,"")</f>
        <v/>
      </c>
      <c r="H381" s="1" t="str">
        <f aca="false">IF(Data!$H370="europe",Data!$A370,"")</f>
        <v/>
      </c>
    </row>
    <row r="382" customFormat="false" ht="15" hidden="false" customHeight="true" outlineLevel="0" collapsed="false">
      <c r="F382" s="21" t="n">
        <f aca="false">IF(Data!$H371="usa",Data!$A371,"")</f>
        <v>27</v>
      </c>
      <c r="G382" s="1" t="str">
        <f aca="false">IF(Data!$H371="japan",Data!$A371,"")</f>
        <v/>
      </c>
      <c r="H382" s="1" t="str">
        <f aca="false">IF(Data!$H371="europe",Data!$A371,"")</f>
        <v/>
      </c>
    </row>
    <row r="383" customFormat="false" ht="15" hidden="false" customHeight="true" outlineLevel="0" collapsed="false">
      <c r="F383" s="21" t="n">
        <f aca="false">IF(Data!$H372="usa",Data!$A372,"")</f>
        <v>34</v>
      </c>
      <c r="G383" s="1" t="str">
        <f aca="false">IF(Data!$H372="japan",Data!$A372,"")</f>
        <v/>
      </c>
      <c r="H383" s="1" t="str">
        <f aca="false">IF(Data!$H372="europe",Data!$A372,"")</f>
        <v/>
      </c>
    </row>
    <row r="384" customFormat="false" ht="15" hidden="false" customHeight="true" outlineLevel="0" collapsed="false">
      <c r="F384" s="21" t="n">
        <f aca="false">IF(Data!$H373="usa",Data!$A373,"")</f>
        <v>31</v>
      </c>
      <c r="G384" s="1" t="str">
        <f aca="false">IF(Data!$H373="japan",Data!$A373,"")</f>
        <v/>
      </c>
      <c r="H384" s="1" t="str">
        <f aca="false">IF(Data!$H373="europe",Data!$A373,"")</f>
        <v/>
      </c>
    </row>
    <row r="385" customFormat="false" ht="15" hidden="false" customHeight="true" outlineLevel="0" collapsed="false">
      <c r="F385" s="21" t="n">
        <f aca="false">IF(Data!$H374="usa",Data!$A374,"")</f>
        <v>29</v>
      </c>
      <c r="G385" s="1" t="str">
        <f aca="false">IF(Data!$H374="japan",Data!$A374,"")</f>
        <v/>
      </c>
      <c r="H385" s="1" t="str">
        <f aca="false">IF(Data!$H374="europe",Data!$A374,"")</f>
        <v/>
      </c>
    </row>
    <row r="386" customFormat="false" ht="15" hidden="false" customHeight="true" outlineLevel="0" collapsed="false">
      <c r="F386" s="21" t="n">
        <f aca="false">IF(Data!$H375="usa",Data!$A375,"")</f>
        <v>27</v>
      </c>
      <c r="G386" s="1" t="str">
        <f aca="false">IF(Data!$H375="japan",Data!$A375,"")</f>
        <v/>
      </c>
      <c r="H386" s="1" t="str">
        <f aca="false">IF(Data!$H375="europe",Data!$A375,"")</f>
        <v/>
      </c>
    </row>
    <row r="387" customFormat="false" ht="15" hidden="false" customHeight="true" outlineLevel="0" collapsed="false">
      <c r="F387" s="21" t="n">
        <f aca="false">IF(Data!$H376="usa",Data!$A376,"")</f>
        <v>24</v>
      </c>
      <c r="G387" s="1" t="str">
        <f aca="false">IF(Data!$H376="japan",Data!$A376,"")</f>
        <v/>
      </c>
      <c r="H387" s="1" t="str">
        <f aca="false">IF(Data!$H376="europe",Data!$A376,"")</f>
        <v/>
      </c>
    </row>
    <row r="388" customFormat="false" ht="15" hidden="false" customHeight="true" outlineLevel="0" collapsed="false">
      <c r="F388" s="21" t="n">
        <f aca="false">IF(Data!$H377="usa",Data!$A377,"")</f>
        <v>23</v>
      </c>
      <c r="G388" s="1" t="str">
        <f aca="false">IF(Data!$H377="japan",Data!$A377,"")</f>
        <v/>
      </c>
      <c r="H388" s="1" t="str">
        <f aca="false">IF(Data!$H377="europe",Data!$A377,"")</f>
        <v/>
      </c>
    </row>
    <row r="389" customFormat="false" ht="15" hidden="false" customHeight="true" outlineLevel="0" collapsed="false">
      <c r="F389" s="1" t="str">
        <f aca="false">IF(Data!$H378="usa",Data!$A378,"")</f>
        <v/>
      </c>
      <c r="G389" s="1" t="str">
        <f aca="false">IF(Data!$H378="japan",Data!$A378,"")</f>
        <v/>
      </c>
      <c r="H389" s="21" t="n">
        <f aca="false">IF(Data!$H378="europe",Data!$A378,"")</f>
        <v>36</v>
      </c>
    </row>
    <row r="390" customFormat="false" ht="15" hidden="false" customHeight="true" outlineLevel="0" collapsed="false">
      <c r="F390" s="1" t="str">
        <f aca="false">IF(Data!$H379="usa",Data!$A379,"")</f>
        <v/>
      </c>
      <c r="G390" s="21" t="n">
        <f aca="false">IF(Data!$H379="japan",Data!$A379,"")</f>
        <v>37</v>
      </c>
      <c r="H390" s="1" t="str">
        <f aca="false">IF(Data!$H379="europe",Data!$A379,"")</f>
        <v/>
      </c>
    </row>
    <row r="391" customFormat="false" ht="15" hidden="false" customHeight="true" outlineLevel="0" collapsed="false">
      <c r="F391" s="1" t="str">
        <f aca="false">IF(Data!$H380="usa",Data!$A380,"")</f>
        <v/>
      </c>
      <c r="G391" s="21" t="n">
        <f aca="false">IF(Data!$H380="japan",Data!$A380,"")</f>
        <v>31</v>
      </c>
      <c r="H391" s="1" t="str">
        <f aca="false">IF(Data!$H380="europe",Data!$A380,"")</f>
        <v/>
      </c>
    </row>
    <row r="392" customFormat="false" ht="15" hidden="false" customHeight="true" outlineLevel="0" collapsed="false">
      <c r="F392" s="21" t="n">
        <f aca="false">IF(Data!$H381="usa",Data!$A381,"")</f>
        <v>38</v>
      </c>
      <c r="G392" s="1" t="str">
        <f aca="false">IF(Data!$H381="japan",Data!$A381,"")</f>
        <v/>
      </c>
      <c r="H392" s="1" t="str">
        <f aca="false">IF(Data!$H381="europe",Data!$A381,"")</f>
        <v/>
      </c>
    </row>
    <row r="393" customFormat="false" ht="15" hidden="false" customHeight="true" outlineLevel="0" collapsed="false">
      <c r="F393" s="21" t="n">
        <f aca="false">IF(Data!$H382="usa",Data!$A382,"")</f>
        <v>36</v>
      </c>
      <c r="G393" s="1" t="str">
        <f aca="false">IF(Data!$H382="japan",Data!$A382,"")</f>
        <v/>
      </c>
      <c r="H393" s="1" t="str">
        <f aca="false">IF(Data!$H382="europe",Data!$A382,"")</f>
        <v/>
      </c>
    </row>
    <row r="394" customFormat="false" ht="15" hidden="false" customHeight="true" outlineLevel="0" collapsed="false">
      <c r="F394" s="1" t="str">
        <f aca="false">IF(Data!$H383="usa",Data!$A383,"")</f>
        <v/>
      </c>
      <c r="G394" s="21" t="n">
        <f aca="false">IF(Data!$H383="japan",Data!$A383,"")</f>
        <v>36</v>
      </c>
      <c r="H394" s="1" t="str">
        <f aca="false">IF(Data!$H383="europe",Data!$A383,"")</f>
        <v/>
      </c>
    </row>
    <row r="395" customFormat="false" ht="15" hidden="false" customHeight="true" outlineLevel="0" collapsed="false">
      <c r="F395" s="1" t="str">
        <f aca="false">IF(Data!$H384="usa",Data!$A384,"")</f>
        <v/>
      </c>
      <c r="G395" s="21" t="n">
        <f aca="false">IF(Data!$H384="japan",Data!$A384,"")</f>
        <v>36</v>
      </c>
      <c r="H395" s="1" t="str">
        <f aca="false">IF(Data!$H384="europe",Data!$A384,"")</f>
        <v/>
      </c>
    </row>
    <row r="396" customFormat="false" ht="15" hidden="false" customHeight="true" outlineLevel="0" collapsed="false">
      <c r="F396" s="1" t="str">
        <f aca="false">IF(Data!$H385="usa",Data!$A385,"")</f>
        <v/>
      </c>
      <c r="G396" s="21" t="n">
        <f aca="false">IF(Data!$H385="japan",Data!$A385,"")</f>
        <v>34</v>
      </c>
      <c r="H396" s="1" t="str">
        <f aca="false">IF(Data!$H385="europe",Data!$A385,"")</f>
        <v/>
      </c>
    </row>
    <row r="397" customFormat="false" ht="15" hidden="false" customHeight="true" outlineLevel="0" collapsed="false">
      <c r="F397" s="1" t="str">
        <f aca="false">IF(Data!$H386="usa",Data!$A386,"")</f>
        <v/>
      </c>
      <c r="G397" s="21" t="n">
        <f aca="false">IF(Data!$H386="japan",Data!$A386,"")</f>
        <v>38</v>
      </c>
      <c r="H397" s="1" t="str">
        <f aca="false">IF(Data!$H386="europe",Data!$A386,"")</f>
        <v/>
      </c>
    </row>
    <row r="398" customFormat="false" ht="15" hidden="false" customHeight="true" outlineLevel="0" collapsed="false">
      <c r="F398" s="1" t="str">
        <f aca="false">IF(Data!$H387="usa",Data!$A387,"")</f>
        <v/>
      </c>
      <c r="G398" s="21" t="n">
        <f aca="false">IF(Data!$H387="japan",Data!$A387,"")</f>
        <v>32</v>
      </c>
      <c r="H398" s="1" t="str">
        <f aca="false">IF(Data!$H387="europe",Data!$A387,"")</f>
        <v/>
      </c>
    </row>
    <row r="399" customFormat="false" ht="15" hidden="false" customHeight="true" outlineLevel="0" collapsed="false">
      <c r="F399" s="1" t="str">
        <f aca="false">IF(Data!$H388="usa",Data!$A388,"")</f>
        <v/>
      </c>
      <c r="G399" s="21" t="n">
        <f aca="false">IF(Data!$H388="japan",Data!$A388,"")</f>
        <v>38</v>
      </c>
      <c r="H399" s="1" t="str">
        <f aca="false">IF(Data!$H388="europe",Data!$A388,"")</f>
        <v/>
      </c>
    </row>
    <row r="400" customFormat="false" ht="15" hidden="false" customHeight="true" outlineLevel="0" collapsed="false">
      <c r="F400" s="21" t="n">
        <f aca="false">IF(Data!$H389="usa",Data!$A389,"")</f>
        <v>25</v>
      </c>
      <c r="G400" s="1" t="str">
        <f aca="false">IF(Data!$H389="japan",Data!$A389,"")</f>
        <v/>
      </c>
      <c r="H400" s="1" t="str">
        <f aca="false">IF(Data!$H389="europe",Data!$A389,"")</f>
        <v/>
      </c>
    </row>
    <row r="401" customFormat="false" ht="15" hidden="false" customHeight="true" outlineLevel="0" collapsed="false">
      <c r="F401" s="21" t="n">
        <f aca="false">IF(Data!$H390="usa",Data!$A390,"")</f>
        <v>38</v>
      </c>
      <c r="G401" s="1" t="str">
        <f aca="false">IF(Data!$H390="japan",Data!$A390,"")</f>
        <v/>
      </c>
      <c r="H401" s="1" t="str">
        <f aca="false">IF(Data!$H390="europe",Data!$A390,"")</f>
        <v/>
      </c>
    </row>
    <row r="402" customFormat="false" ht="15" hidden="false" customHeight="true" outlineLevel="0" collapsed="false">
      <c r="F402" s="21" t="n">
        <f aca="false">IF(Data!$H391="usa",Data!$A391,"")</f>
        <v>26</v>
      </c>
      <c r="G402" s="1" t="str">
        <f aca="false">IF(Data!$H391="japan",Data!$A391,"")</f>
        <v/>
      </c>
      <c r="H402" s="1" t="str">
        <f aca="false">IF(Data!$H391="europe",Data!$A391,"")</f>
        <v/>
      </c>
    </row>
    <row r="403" customFormat="false" ht="15" hidden="false" customHeight="true" outlineLevel="0" collapsed="false">
      <c r="F403" s="21" t="n">
        <f aca="false">IF(Data!$H392="usa",Data!$A392,"")</f>
        <v>22</v>
      </c>
      <c r="G403" s="1" t="str">
        <f aca="false">IF(Data!$H392="japan",Data!$A392,"")</f>
        <v/>
      </c>
      <c r="H403" s="1" t="str">
        <f aca="false">IF(Data!$H392="europe",Data!$A392,"")</f>
        <v/>
      </c>
    </row>
    <row r="404" customFormat="false" ht="15" hidden="false" customHeight="true" outlineLevel="0" collapsed="false">
      <c r="F404" s="1" t="str">
        <f aca="false">IF(Data!$H393="usa",Data!$A393,"")</f>
        <v/>
      </c>
      <c r="G404" s="21" t="n">
        <f aca="false">IF(Data!$H393="japan",Data!$A393,"")</f>
        <v>32</v>
      </c>
      <c r="H404" s="1" t="str">
        <f aca="false">IF(Data!$H393="europe",Data!$A393,"")</f>
        <v/>
      </c>
    </row>
    <row r="405" customFormat="false" ht="15" hidden="false" customHeight="true" outlineLevel="0" collapsed="false">
      <c r="F405" s="21" t="n">
        <f aca="false">IF(Data!$H394="usa",Data!$A394,"")</f>
        <v>36</v>
      </c>
      <c r="G405" s="1" t="str">
        <f aca="false">IF(Data!$H394="japan",Data!$A394,"")</f>
        <v/>
      </c>
      <c r="H405" s="1" t="str">
        <f aca="false">IF(Data!$H394="europe",Data!$A394,"")</f>
        <v/>
      </c>
    </row>
    <row r="406" customFormat="false" ht="15" hidden="false" customHeight="true" outlineLevel="0" collapsed="false">
      <c r="F406" s="21" t="n">
        <f aca="false">IF(Data!$H395="usa",Data!$A395,"")</f>
        <v>27</v>
      </c>
      <c r="G406" s="1" t="str">
        <f aca="false">IF(Data!$H395="japan",Data!$A395,"")</f>
        <v/>
      </c>
      <c r="H406" s="1" t="str">
        <f aca="false">IF(Data!$H395="europe",Data!$A395,"")</f>
        <v/>
      </c>
    </row>
    <row r="407" customFormat="false" ht="15" hidden="false" customHeight="true" outlineLevel="0" collapsed="false">
      <c r="F407" s="21" t="n">
        <f aca="false">IF(Data!$H396="usa",Data!$A396,"")</f>
        <v>27</v>
      </c>
      <c r="G407" s="1" t="str">
        <f aca="false">IF(Data!$H396="japan",Data!$A396,"")</f>
        <v/>
      </c>
      <c r="H407" s="1" t="str">
        <f aca="false">IF(Data!$H396="europe",Data!$A396,"")</f>
        <v/>
      </c>
    </row>
    <row r="408" customFormat="false" ht="15" hidden="false" customHeight="true" outlineLevel="0" collapsed="false">
      <c r="F408" s="1" t="str">
        <f aca="false">IF(Data!$H397="usa",Data!$A397,"")</f>
        <v/>
      </c>
      <c r="G408" s="1" t="str">
        <f aca="false">IF(Data!$H397="japan",Data!$A397,"")</f>
        <v/>
      </c>
      <c r="H408" s="21" t="n">
        <f aca="false">IF(Data!$H397="europe",Data!$A397,"")</f>
        <v>44</v>
      </c>
    </row>
    <row r="409" customFormat="false" ht="15" hidden="false" customHeight="true" outlineLevel="0" collapsed="false">
      <c r="F409" s="21" t="n">
        <f aca="false">IF(Data!$H398="usa",Data!$A398,"")</f>
        <v>32</v>
      </c>
      <c r="G409" s="1" t="str">
        <f aca="false">IF(Data!$H398="japan",Data!$A398,"")</f>
        <v/>
      </c>
      <c r="H409" s="1" t="str">
        <f aca="false">IF(Data!$H398="europe",Data!$A398,"")</f>
        <v/>
      </c>
    </row>
    <row r="410" customFormat="false" ht="15" hidden="false" customHeight="true" outlineLevel="0" collapsed="false">
      <c r="F410" s="21" t="n">
        <f aca="false">IF(Data!$H399="usa",Data!$A399,"")</f>
        <v>28</v>
      </c>
      <c r="G410" s="1" t="str">
        <f aca="false">IF(Data!$H399="japan",Data!$A399,"")</f>
        <v/>
      </c>
      <c r="H410" s="1" t="str">
        <f aca="false">IF(Data!$H399="europe",Data!$A399,"")</f>
        <v/>
      </c>
    </row>
    <row r="411" customFormat="false" ht="15" hidden="false" customHeight="true" outlineLevel="0" collapsed="false">
      <c r="F411" s="21" t="n">
        <f aca="false">IF(Data!$H400="usa",Data!$A400,"")</f>
        <v>31</v>
      </c>
      <c r="G411" s="1" t="str">
        <f aca="false">IF(Data!$H400="japan",Data!$A400,"")</f>
        <v/>
      </c>
      <c r="H411" s="1" t="str">
        <f aca="false">IF(Data!$H400="europe",Data!$A400,"")</f>
        <v/>
      </c>
    </row>
  </sheetData>
  <mergeCells count="14">
    <mergeCell ref="A1:D1"/>
    <mergeCell ref="A3:D3"/>
    <mergeCell ref="A4:D6"/>
    <mergeCell ref="A11:D11"/>
    <mergeCell ref="A12:D12"/>
    <mergeCell ref="A13:D13"/>
    <mergeCell ref="A18:D18"/>
    <mergeCell ref="A23:D23"/>
    <mergeCell ref="C29:D29"/>
    <mergeCell ref="B32:D32"/>
    <mergeCell ref="A34:D34"/>
    <mergeCell ref="A35:D36"/>
    <mergeCell ref="A38:D38"/>
    <mergeCell ref="A39:D4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18"/>
    <col collapsed="false" customWidth="true" hidden="false" outlineLevel="0" max="3" min="3" style="1" width="6"/>
    <col collapsed="false" customWidth="true" hidden="false" outlineLevel="0" max="4" min="4" style="1" width="55"/>
    <col collapsed="false" customWidth="true" hidden="false" outlineLevel="0" max="5" min="5" style="1" width="6"/>
  </cols>
  <sheetData>
    <row r="1" customFormat="false" ht="25.5" hidden="false" customHeight="true" outlineLevel="0" collapsed="false">
      <c r="A1" s="2" t="s">
        <v>425</v>
      </c>
      <c r="B1" s="2"/>
      <c r="C1" s="2"/>
      <c r="D1" s="2"/>
    </row>
    <row r="3" customFormat="false" ht="18" hidden="false" customHeight="true" outlineLevel="0" collapsed="false">
      <c r="A3" s="4" t="s">
        <v>361</v>
      </c>
      <c r="B3" s="4"/>
      <c r="C3" s="4"/>
      <c r="D3" s="4"/>
    </row>
    <row r="4" customFormat="false" ht="15" hidden="false" customHeight="true" outlineLevel="0" collapsed="false">
      <c r="A4" s="3" t="s">
        <v>426</v>
      </c>
      <c r="B4" s="3"/>
      <c r="C4" s="3"/>
      <c r="D4" s="3"/>
    </row>
    <row r="5" customFormat="false" ht="15" hidden="false" customHeight="true" outlineLevel="0" collapsed="false">
      <c r="A5" s="3"/>
      <c r="B5" s="3"/>
      <c r="C5" s="3"/>
      <c r="D5" s="3"/>
    </row>
    <row r="6" customFormat="false" ht="15" hidden="false" customHeight="true" outlineLevel="0" collapsed="false">
      <c r="A6" s="3"/>
      <c r="B6" s="3"/>
      <c r="C6" s="3"/>
      <c r="D6" s="3"/>
    </row>
    <row r="8" customFormat="false" ht="15" hidden="false" customHeight="true" outlineLevel="0" collapsed="false">
      <c r="A8" s="12" t="s">
        <v>363</v>
      </c>
      <c r="B8" s="13" t="s">
        <v>427</v>
      </c>
    </row>
    <row r="9" customFormat="false" ht="15" hidden="false" customHeight="true" outlineLevel="0" collapsed="false">
      <c r="A9" s="12" t="s">
        <v>365</v>
      </c>
      <c r="B9" s="13" t="s">
        <v>428</v>
      </c>
    </row>
    <row r="11" customFormat="false" ht="18" hidden="false" customHeight="true" outlineLevel="0" collapsed="false">
      <c r="A11" s="4" t="s">
        <v>429</v>
      </c>
      <c r="B11" s="4"/>
      <c r="C11" s="4"/>
      <c r="D11" s="4"/>
    </row>
    <row r="12" customFormat="false" ht="15" hidden="false" customHeight="true" outlineLevel="0" collapsed="false">
      <c r="A12" s="12" t="s">
        <v>430</v>
      </c>
      <c r="B12" s="14" t="n">
        <f aca="false">COUNT(Data!$A$3:$A$400)</f>
        <v>398</v>
      </c>
    </row>
    <row r="13" customFormat="false" ht="15" hidden="false" customHeight="true" outlineLevel="0" collapsed="false">
      <c r="A13" s="12" t="s">
        <v>431</v>
      </c>
      <c r="B13" s="16" t="n">
        <f aca="false">CORREL(Data!$E$3:$E$400,Data!$A$3:$A$400)</f>
        <v>-0.831740933244335</v>
      </c>
    </row>
    <row r="15" customFormat="false" ht="18" hidden="false" customHeight="true" outlineLevel="0" collapsed="false">
      <c r="A15" s="4" t="s">
        <v>432</v>
      </c>
      <c r="B15" s="4"/>
      <c r="C15" s="4"/>
      <c r="D15" s="4"/>
    </row>
    <row r="16" customFormat="false" ht="15" hidden="false" customHeight="true" outlineLevel="0" collapsed="false">
      <c r="A16" s="22" t="s">
        <v>433</v>
      </c>
      <c r="B16" s="16" t="n">
        <f aca="false">B13*SQRT(B12-2)/SQRT(1-B13^2)</f>
        <v>-29.8135989549725</v>
      </c>
    </row>
    <row r="17" customFormat="false" ht="15" hidden="false" customHeight="true" outlineLevel="0" collapsed="false">
      <c r="A17" s="12" t="s">
        <v>434</v>
      </c>
      <c r="B17" s="14" t="n">
        <f aca="false">B12-2</f>
        <v>396</v>
      </c>
    </row>
    <row r="18" customFormat="false" ht="15" hidden="false" customHeight="true" outlineLevel="0" collapsed="false">
      <c r="A18" s="12" t="s">
        <v>377</v>
      </c>
      <c r="B18" s="23" t="n">
        <f aca="false">TDIST(ABS(B16),B17,2)</f>
        <v>2.97279956405014E-103</v>
      </c>
    </row>
    <row r="19" customFormat="false" ht="15" hidden="false" customHeight="true" outlineLevel="0" collapsed="false">
      <c r="A19" s="12" t="s">
        <v>378</v>
      </c>
      <c r="B19" s="7" t="n">
        <v>0.05</v>
      </c>
    </row>
    <row r="21" customFormat="false" ht="15" hidden="false" customHeight="true" outlineLevel="0" collapsed="false">
      <c r="A21" s="12" t="s">
        <v>40</v>
      </c>
      <c r="B21" s="18" t="str">
        <f aca="false">IF(B18&lt;B19,"Reject H0: There is correlation","Fail to reject H0: No significant correlation")</f>
        <v>Reject H0: There is correlation</v>
      </c>
      <c r="C21" s="18"/>
      <c r="D21" s="18"/>
    </row>
    <row r="23" customFormat="false" ht="18" hidden="false" customHeight="true" outlineLevel="0" collapsed="false">
      <c r="A23" s="4" t="s">
        <v>379</v>
      </c>
      <c r="B23" s="4"/>
      <c r="C23" s="4"/>
      <c r="D23" s="4"/>
    </row>
    <row r="24" customFormat="false" ht="15" hidden="false" customHeight="true" outlineLevel="0" collapsed="false">
      <c r="A24" s="3" t="s">
        <v>435</v>
      </c>
      <c r="B24" s="3"/>
      <c r="C24" s="3"/>
      <c r="D24" s="3"/>
    </row>
    <row r="25" customFormat="false" ht="15" hidden="false" customHeight="true" outlineLevel="0" collapsed="false">
      <c r="A25" s="3"/>
      <c r="B25" s="3"/>
      <c r="C25" s="3"/>
      <c r="D25" s="3"/>
    </row>
    <row r="27" customFormat="false" ht="18" hidden="false" customHeight="true" outlineLevel="0" collapsed="false">
      <c r="A27" s="4" t="s">
        <v>381</v>
      </c>
      <c r="B27" s="4"/>
      <c r="C27" s="4"/>
      <c r="D27" s="4"/>
    </row>
    <row r="28" customFormat="false" ht="60" hidden="false" customHeight="true" outlineLevel="0" collapsed="false">
      <c r="A28" s="19" t="str">
        <f aca="false">IF(B18&lt;B19,"There is strong statistical evidence of a statistically significant linear relationship between weight and MPG. "&amp;IF(B13&lt;0,"As weight increases, MPG decreases on average (heavier cars tend to be less fuel efficient).","As weight increases, MPG increases on average."),"No statistically significant linear relationship was found between weight and MPG.")</f>
        <v>There is strong statistical evidence of a statistically significant linear relationship between weight and MPG. As weight increases, MPG decreases on average (heavier cars tend to be less fuel efficient).</v>
      </c>
      <c r="B28" s="19"/>
      <c r="C28" s="19"/>
      <c r="D28" s="19"/>
    </row>
    <row r="29" customFormat="false" ht="15" hidden="false" customHeight="true" outlineLevel="0" collapsed="false">
      <c r="A29" s="19"/>
      <c r="B29" s="19"/>
      <c r="C29" s="19"/>
      <c r="D29" s="19"/>
    </row>
    <row r="30" customFormat="false" ht="15" hidden="false" customHeight="true" outlineLevel="0" collapsed="false">
      <c r="A30" s="19"/>
      <c r="B30" s="19"/>
      <c r="C30" s="19"/>
      <c r="D30" s="19"/>
    </row>
    <row r="31" customFormat="false" ht="15" hidden="false" customHeight="true" outlineLevel="0" collapsed="false">
      <c r="A31" s="19"/>
      <c r="B31" s="19"/>
      <c r="C31" s="19"/>
      <c r="D31" s="19"/>
    </row>
  </sheetData>
  <mergeCells count="10">
    <mergeCell ref="A1:D1"/>
    <mergeCell ref="A3:D3"/>
    <mergeCell ref="A4:D6"/>
    <mergeCell ref="A11:D11"/>
    <mergeCell ref="A15:D15"/>
    <mergeCell ref="B21:D21"/>
    <mergeCell ref="A23:D23"/>
    <mergeCell ref="A24:D25"/>
    <mergeCell ref="A27:D27"/>
    <mergeCell ref="A28:D3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18"/>
    <col collapsed="false" customWidth="true" hidden="false" outlineLevel="0" max="3" min="3" style="1" width="6"/>
    <col collapsed="false" customWidth="true" hidden="false" outlineLevel="0" max="4" min="4" style="1" width="55"/>
    <col collapsed="false" customWidth="true" hidden="false" outlineLevel="0" max="5" min="5" style="1" width="6"/>
    <col collapsed="false" customWidth="true" hidden="false" outlineLevel="0" max="7" min="6" style="1" width="12"/>
  </cols>
  <sheetData>
    <row r="1" customFormat="false" ht="25.5" hidden="false" customHeight="true" outlineLevel="0" collapsed="false">
      <c r="A1" s="2" t="s">
        <v>436</v>
      </c>
      <c r="B1" s="2"/>
      <c r="C1" s="2"/>
      <c r="D1" s="2"/>
    </row>
    <row r="3" customFormat="false" ht="18" hidden="false" customHeight="true" outlineLevel="0" collapsed="false">
      <c r="A3" s="4" t="s">
        <v>361</v>
      </c>
      <c r="B3" s="4"/>
      <c r="C3" s="4"/>
      <c r="D3" s="4"/>
    </row>
    <row r="4" customFormat="false" ht="15" hidden="false" customHeight="true" outlineLevel="0" collapsed="false">
      <c r="A4" s="3" t="s">
        <v>437</v>
      </c>
      <c r="B4" s="3"/>
      <c r="C4" s="3"/>
      <c r="D4" s="3"/>
    </row>
    <row r="5" customFormat="false" ht="15" hidden="false" customHeight="true" outlineLevel="0" collapsed="false">
      <c r="A5" s="3"/>
      <c r="B5" s="3"/>
      <c r="C5" s="3"/>
      <c r="D5" s="3"/>
    </row>
    <row r="6" customFormat="false" ht="15" hidden="false" customHeight="true" outlineLevel="0" collapsed="false">
      <c r="A6" s="3"/>
      <c r="B6" s="3"/>
      <c r="C6" s="3"/>
      <c r="D6" s="3"/>
    </row>
    <row r="7" customFormat="false" ht="15" hidden="false" customHeight="true" outlineLevel="0" collapsed="false">
      <c r="A7" s="3"/>
      <c r="B7" s="3"/>
      <c r="C7" s="3"/>
      <c r="D7" s="3"/>
    </row>
    <row r="9" customFormat="false" ht="15" hidden="false" customHeight="true" outlineLevel="0" collapsed="false">
      <c r="A9" s="12" t="s">
        <v>363</v>
      </c>
      <c r="B9" s="13" t="s">
        <v>438</v>
      </c>
    </row>
    <row r="10" customFormat="false" ht="15" hidden="false" customHeight="true" outlineLevel="0" collapsed="false">
      <c r="A10" s="12" t="s">
        <v>365</v>
      </c>
      <c r="B10" s="13" t="s">
        <v>439</v>
      </c>
    </row>
    <row r="12" customFormat="false" ht="18" hidden="false" customHeight="true" outlineLevel="0" collapsed="false">
      <c r="A12" s="4" t="s">
        <v>386</v>
      </c>
      <c r="B12" s="4"/>
      <c r="C12" s="4"/>
      <c r="D12" s="4"/>
    </row>
    <row r="13" customFormat="false" ht="15" hidden="false" customHeight="true" outlineLevel="0" collapsed="false">
      <c r="A13" s="3" t="s">
        <v>440</v>
      </c>
      <c r="B13" s="3"/>
      <c r="C13" s="3"/>
      <c r="D13" s="3"/>
    </row>
    <row r="14" customFormat="false" ht="18" hidden="false" customHeight="true" outlineLevel="0" collapsed="false">
      <c r="A14" s="4" t="s">
        <v>441</v>
      </c>
      <c r="B14" s="4"/>
      <c r="C14" s="4"/>
      <c r="D14" s="4"/>
      <c r="F14" s="20" t="s">
        <v>389</v>
      </c>
      <c r="G14" s="20" t="s">
        <v>390</v>
      </c>
    </row>
    <row r="15" customFormat="false" ht="15" hidden="false" customHeight="true" outlineLevel="0" collapsed="false">
      <c r="A15" s="12" t="s">
        <v>442</v>
      </c>
      <c r="B15" s="16" t="n">
        <f aca="false">VAR(F15:F412)</f>
        <v>40.9970261691929</v>
      </c>
      <c r="F15" s="21" t="n">
        <f aca="false">IF(Data!$H3="usa",Data!$A3,"")</f>
        <v>18</v>
      </c>
      <c r="G15" s="1" t="str">
        <f aca="false">IF(Data!$H3="japan",Data!$A3,"")</f>
        <v/>
      </c>
    </row>
    <row r="16" customFormat="false" ht="15" hidden="false" customHeight="true" outlineLevel="0" collapsed="false">
      <c r="A16" s="12" t="s">
        <v>443</v>
      </c>
      <c r="B16" s="16" t="n">
        <f aca="false">VAR(G15:G412)</f>
        <v>37.0886854917235</v>
      </c>
      <c r="F16" s="21" t="n">
        <f aca="false">IF(Data!$H4="usa",Data!$A4,"")</f>
        <v>15</v>
      </c>
      <c r="G16" s="1" t="str">
        <f aca="false">IF(Data!$H4="japan",Data!$A4,"")</f>
        <v/>
      </c>
    </row>
    <row r="17" customFormat="false" ht="15" hidden="false" customHeight="true" outlineLevel="0" collapsed="false">
      <c r="F17" s="21" t="n">
        <f aca="false">IF(Data!$H5="usa",Data!$A5,"")</f>
        <v>18</v>
      </c>
      <c r="G17" s="1" t="str">
        <f aca="false">IF(Data!$H5="japan",Data!$A5,"")</f>
        <v/>
      </c>
    </row>
    <row r="18" customFormat="false" ht="18" hidden="false" customHeight="true" outlineLevel="0" collapsed="false">
      <c r="A18" s="4" t="s">
        <v>444</v>
      </c>
      <c r="B18" s="4"/>
      <c r="C18" s="4"/>
      <c r="D18" s="4"/>
      <c r="F18" s="21" t="n">
        <f aca="false">IF(Data!$H6="usa",Data!$A6,"")</f>
        <v>16</v>
      </c>
      <c r="G18" s="1" t="str">
        <f aca="false">IF(Data!$H6="japan",Data!$A6,"")</f>
        <v/>
      </c>
    </row>
    <row r="19" customFormat="false" ht="15" hidden="false" customHeight="true" outlineLevel="0" collapsed="false">
      <c r="A19" s="22" t="s">
        <v>445</v>
      </c>
      <c r="B19" s="15" t="n">
        <f aca="false">MAX(B15,B16)/MIN(B15,B16)</f>
        <v>1.10537824745343</v>
      </c>
      <c r="F19" s="21" t="n">
        <f aca="false">IF(Data!$H7="usa",Data!$A7,"")</f>
        <v>17</v>
      </c>
      <c r="G19" s="1" t="str">
        <f aca="false">IF(Data!$H7="japan",Data!$A7,"")</f>
        <v/>
      </c>
    </row>
    <row r="20" customFormat="false" ht="15" hidden="false" customHeight="true" outlineLevel="0" collapsed="false">
      <c r="A20" s="22" t="s">
        <v>446</v>
      </c>
      <c r="B20" s="23" t="n">
        <f aca="false">FTEST(F15:F412,G15:G412)</f>
        <v>0.611446630048558</v>
      </c>
      <c r="F20" s="21" t="n">
        <f aca="false">IF(Data!$H8="usa",Data!$A8,"")</f>
        <v>15</v>
      </c>
      <c r="G20" s="1" t="str">
        <f aca="false">IF(Data!$H8="japan",Data!$A8,"")</f>
        <v/>
      </c>
    </row>
    <row r="21" customFormat="false" ht="15" hidden="false" customHeight="true" outlineLevel="0" collapsed="false">
      <c r="A21" s="12" t="s">
        <v>378</v>
      </c>
      <c r="B21" s="7" t="n">
        <v>0.05</v>
      </c>
      <c r="F21" s="21" t="n">
        <f aca="false">IF(Data!$H9="usa",Data!$A9,"")</f>
        <v>14</v>
      </c>
      <c r="G21" s="1" t="str">
        <f aca="false">IF(Data!$H9="japan",Data!$A9,"")</f>
        <v/>
      </c>
    </row>
    <row r="22" customFormat="false" ht="15" hidden="false" customHeight="true" outlineLevel="0" collapsed="false">
      <c r="F22" s="21" t="n">
        <f aca="false">IF(Data!$H10="usa",Data!$A10,"")</f>
        <v>14</v>
      </c>
      <c r="G22" s="1" t="str">
        <f aca="false">IF(Data!$H10="japan",Data!$A10,"")</f>
        <v/>
      </c>
    </row>
    <row r="23" customFormat="false" ht="15" hidden="false" customHeight="true" outlineLevel="0" collapsed="false">
      <c r="A23" s="12" t="s">
        <v>40</v>
      </c>
      <c r="B23" s="18" t="str">
        <f aca="false">IF(B20&lt;B21,"Reject H0: Variances are not equal","Fail to reject H0: Not enough evidence to reject H0")</f>
        <v>Fail to reject H0: Not enough evidence to reject H0</v>
      </c>
      <c r="C23" s="18"/>
      <c r="D23" s="18"/>
      <c r="F23" s="21" t="n">
        <f aca="false">IF(Data!$H11="usa",Data!$A11,"")</f>
        <v>14</v>
      </c>
      <c r="G23" s="1" t="str">
        <f aca="false">IF(Data!$H11="japan",Data!$A11,"")</f>
        <v/>
      </c>
    </row>
    <row r="24" customFormat="false" ht="15" hidden="false" customHeight="true" outlineLevel="0" collapsed="false">
      <c r="F24" s="21" t="n">
        <f aca="false">IF(Data!$H12="usa",Data!$A12,"")</f>
        <v>15</v>
      </c>
      <c r="G24" s="1" t="str">
        <f aca="false">IF(Data!$H12="japan",Data!$A12,"")</f>
        <v/>
      </c>
    </row>
    <row r="25" customFormat="false" ht="18" hidden="false" customHeight="true" outlineLevel="0" collapsed="false">
      <c r="A25" s="4" t="s">
        <v>379</v>
      </c>
      <c r="B25" s="4"/>
      <c r="C25" s="4"/>
      <c r="D25" s="4"/>
      <c r="F25" s="21" t="n">
        <f aca="false">IF(Data!$H13="usa",Data!$A13,"")</f>
        <v>15</v>
      </c>
      <c r="G25" s="1" t="str">
        <f aca="false">IF(Data!$H13="japan",Data!$A13,"")</f>
        <v/>
      </c>
    </row>
    <row r="26" customFormat="false" ht="15" hidden="false" customHeight="true" outlineLevel="0" collapsed="false">
      <c r="A26" s="3" t="s">
        <v>447</v>
      </c>
      <c r="B26" s="3"/>
      <c r="C26" s="3"/>
      <c r="D26" s="3"/>
      <c r="F26" s="21" t="n">
        <f aca="false">IF(Data!$H14="usa",Data!$A14,"")</f>
        <v>14</v>
      </c>
      <c r="G26" s="1" t="str">
        <f aca="false">IF(Data!$H14="japan",Data!$A14,"")</f>
        <v/>
      </c>
    </row>
    <row r="27" customFormat="false" ht="15" hidden="false" customHeight="true" outlineLevel="0" collapsed="false">
      <c r="A27" s="3"/>
      <c r="B27" s="3"/>
      <c r="C27" s="3"/>
      <c r="D27" s="3"/>
      <c r="F27" s="21" t="n">
        <f aca="false">IF(Data!$H15="usa",Data!$A15,"")</f>
        <v>15</v>
      </c>
      <c r="G27" s="1" t="str">
        <f aca="false">IF(Data!$H15="japan",Data!$A15,"")</f>
        <v/>
      </c>
    </row>
    <row r="28" customFormat="false" ht="15" hidden="false" customHeight="true" outlineLevel="0" collapsed="false">
      <c r="F28" s="21" t="n">
        <f aca="false">IF(Data!$H16="usa",Data!$A16,"")</f>
        <v>14</v>
      </c>
      <c r="G28" s="1" t="str">
        <f aca="false">IF(Data!$H16="japan",Data!$A16,"")</f>
        <v/>
      </c>
    </row>
    <row r="29" customFormat="false" ht="18" hidden="false" customHeight="true" outlineLevel="0" collapsed="false">
      <c r="A29" s="4" t="s">
        <v>381</v>
      </c>
      <c r="B29" s="4"/>
      <c r="C29" s="4"/>
      <c r="D29" s="4"/>
      <c r="F29" s="1" t="str">
        <f aca="false">IF(Data!$H17="usa",Data!$A17,"")</f>
        <v/>
      </c>
      <c r="G29" s="21" t="n">
        <f aca="false">IF(Data!$H17="japan",Data!$A17,"")</f>
        <v>24</v>
      </c>
    </row>
    <row r="30" customFormat="false" ht="60" hidden="false" customHeight="true" outlineLevel="0" collapsed="false">
      <c r="A30" s="19" t="str">
        <f aca="false">IF(B20&lt;B21,"There is statistically significant evidence that the MPG variance differs between USA and Japan cars.","There is no statistically significant evidence that the MPG variance differs between USA and Japan cars. Their MPG variability appears statistically similar, even though their mean MPG values are quite different.")</f>
        <v>There is no statistically significant evidence that the MPG variance differs between USA and Japan cars. Their MPG variability appears statistically similar, even though their mean MPG values are quite different.</v>
      </c>
      <c r="B30" s="19"/>
      <c r="C30" s="19"/>
      <c r="D30" s="19"/>
      <c r="F30" s="21" t="n">
        <f aca="false">IF(Data!$H18="usa",Data!$A18,"")</f>
        <v>22</v>
      </c>
      <c r="G30" s="1" t="str">
        <f aca="false">IF(Data!$H18="japan",Data!$A18,"")</f>
        <v/>
      </c>
    </row>
    <row r="31" customFormat="false" ht="15" hidden="false" customHeight="true" outlineLevel="0" collapsed="false">
      <c r="A31" s="19"/>
      <c r="B31" s="19"/>
      <c r="C31" s="19"/>
      <c r="D31" s="19"/>
      <c r="F31" s="21" t="n">
        <f aca="false">IF(Data!$H19="usa",Data!$A19,"")</f>
        <v>18</v>
      </c>
      <c r="G31" s="1" t="str">
        <f aca="false">IF(Data!$H19="japan",Data!$A19,"")</f>
        <v/>
      </c>
    </row>
    <row r="32" customFormat="false" ht="15" hidden="false" customHeight="true" outlineLevel="0" collapsed="false">
      <c r="A32" s="19"/>
      <c r="B32" s="19"/>
      <c r="C32" s="19"/>
      <c r="D32" s="19"/>
      <c r="F32" s="21" t="n">
        <f aca="false">IF(Data!$H20="usa",Data!$A20,"")</f>
        <v>21</v>
      </c>
      <c r="G32" s="1" t="str">
        <f aca="false">IF(Data!$H20="japan",Data!$A20,"")</f>
        <v/>
      </c>
    </row>
    <row r="33" customFormat="false" ht="15" hidden="false" customHeight="true" outlineLevel="0" collapsed="false">
      <c r="A33" s="19"/>
      <c r="B33" s="19"/>
      <c r="C33" s="19"/>
      <c r="D33" s="19"/>
      <c r="F33" s="1" t="str">
        <f aca="false">IF(Data!$H21="usa",Data!$A21,"")</f>
        <v/>
      </c>
      <c r="G33" s="21" t="n">
        <f aca="false">IF(Data!$H21="japan",Data!$A21,"")</f>
        <v>27</v>
      </c>
    </row>
    <row r="34" customFormat="false" ht="15" hidden="false" customHeight="true" outlineLevel="0" collapsed="false">
      <c r="F34" s="1" t="str">
        <f aca="false">IF(Data!$H22="usa",Data!$A22,"")</f>
        <v/>
      </c>
      <c r="G34" s="1" t="str">
        <f aca="false">IF(Data!$H22="japan",Data!$A22,"")</f>
        <v/>
      </c>
    </row>
    <row r="35" customFormat="false" ht="15" hidden="false" customHeight="true" outlineLevel="0" collapsed="false">
      <c r="F35" s="1" t="str">
        <f aca="false">IF(Data!$H23="usa",Data!$A23,"")</f>
        <v/>
      </c>
      <c r="G35" s="1" t="str">
        <f aca="false">IF(Data!$H23="japan",Data!$A23,"")</f>
        <v/>
      </c>
    </row>
    <row r="36" customFormat="false" ht="15" hidden="false" customHeight="true" outlineLevel="0" collapsed="false">
      <c r="F36" s="1" t="str">
        <f aca="false">IF(Data!$H24="usa",Data!$A24,"")</f>
        <v/>
      </c>
      <c r="G36" s="1" t="str">
        <f aca="false">IF(Data!$H24="japan",Data!$A24,"")</f>
        <v/>
      </c>
    </row>
    <row r="37" customFormat="false" ht="15" hidden="false" customHeight="true" outlineLevel="0" collapsed="false">
      <c r="F37" s="1" t="str">
        <f aca="false">IF(Data!$H25="usa",Data!$A25,"")</f>
        <v/>
      </c>
      <c r="G37" s="1" t="str">
        <f aca="false">IF(Data!$H25="japan",Data!$A25,"")</f>
        <v/>
      </c>
    </row>
    <row r="38" customFormat="false" ht="15" hidden="false" customHeight="true" outlineLevel="0" collapsed="false">
      <c r="F38" s="1" t="str">
        <f aca="false">IF(Data!$H26="usa",Data!$A26,"")</f>
        <v/>
      </c>
      <c r="G38" s="1" t="str">
        <f aca="false">IF(Data!$H26="japan",Data!$A26,"")</f>
        <v/>
      </c>
    </row>
    <row r="39" customFormat="false" ht="15" hidden="false" customHeight="true" outlineLevel="0" collapsed="false">
      <c r="F39" s="21" t="n">
        <f aca="false">IF(Data!$H27="usa",Data!$A27,"")</f>
        <v>21</v>
      </c>
      <c r="G39" s="1" t="str">
        <f aca="false">IF(Data!$H27="japan",Data!$A27,"")</f>
        <v/>
      </c>
    </row>
    <row r="40" customFormat="false" ht="15" hidden="false" customHeight="true" outlineLevel="0" collapsed="false">
      <c r="F40" s="21" t="n">
        <f aca="false">IF(Data!$H28="usa",Data!$A28,"")</f>
        <v>10</v>
      </c>
      <c r="G40" s="1" t="str">
        <f aca="false">IF(Data!$H28="japan",Data!$A28,"")</f>
        <v/>
      </c>
    </row>
    <row r="41" customFormat="false" ht="15" hidden="false" customHeight="true" outlineLevel="0" collapsed="false">
      <c r="F41" s="21" t="n">
        <f aca="false">IF(Data!$H29="usa",Data!$A29,"")</f>
        <v>10</v>
      </c>
      <c r="G41" s="1" t="str">
        <f aca="false">IF(Data!$H29="japan",Data!$A29,"")</f>
        <v/>
      </c>
    </row>
    <row r="42" customFormat="false" ht="15" hidden="false" customHeight="true" outlineLevel="0" collapsed="false">
      <c r="F42" s="21" t="n">
        <f aca="false">IF(Data!$H30="usa",Data!$A30,"")</f>
        <v>11</v>
      </c>
      <c r="G42" s="1" t="str">
        <f aca="false">IF(Data!$H30="japan",Data!$A30,"")</f>
        <v/>
      </c>
    </row>
    <row r="43" customFormat="false" ht="15" hidden="false" customHeight="true" outlineLevel="0" collapsed="false">
      <c r="F43" s="21" t="n">
        <f aca="false">IF(Data!$H31="usa",Data!$A31,"")</f>
        <v>9</v>
      </c>
      <c r="G43" s="1" t="str">
        <f aca="false">IF(Data!$H31="japan",Data!$A31,"")</f>
        <v/>
      </c>
    </row>
    <row r="44" customFormat="false" ht="15" hidden="false" customHeight="true" outlineLevel="0" collapsed="false">
      <c r="F44" s="1" t="str">
        <f aca="false">IF(Data!$H32="usa",Data!$A32,"")</f>
        <v/>
      </c>
      <c r="G44" s="21" t="n">
        <f aca="false">IF(Data!$H32="japan",Data!$A32,"")</f>
        <v>27</v>
      </c>
    </row>
    <row r="45" customFormat="false" ht="15" hidden="false" customHeight="true" outlineLevel="0" collapsed="false">
      <c r="F45" s="21" t="n">
        <f aca="false">IF(Data!$H33="usa",Data!$A33,"")</f>
        <v>28</v>
      </c>
      <c r="G45" s="1" t="str">
        <f aca="false">IF(Data!$H33="japan",Data!$A33,"")</f>
        <v/>
      </c>
    </row>
    <row r="46" customFormat="false" ht="15" hidden="false" customHeight="true" outlineLevel="0" collapsed="false">
      <c r="F46" s="1" t="str">
        <f aca="false">IF(Data!$H34="usa",Data!$A34,"")</f>
        <v/>
      </c>
      <c r="G46" s="21" t="n">
        <f aca="false">IF(Data!$H34="japan",Data!$A34,"")</f>
        <v>25</v>
      </c>
    </row>
    <row r="47" customFormat="false" ht="15" hidden="false" customHeight="true" outlineLevel="0" collapsed="false">
      <c r="F47" s="21" t="n">
        <f aca="false">IF(Data!$H35="usa",Data!$A35,"")</f>
        <v>25</v>
      </c>
      <c r="G47" s="1" t="str">
        <f aca="false">IF(Data!$H35="japan",Data!$A35,"")</f>
        <v/>
      </c>
    </row>
    <row r="48" customFormat="false" ht="15" hidden="false" customHeight="true" outlineLevel="0" collapsed="false">
      <c r="F48" s="21" t="n">
        <f aca="false">IF(Data!$H36="usa",Data!$A36,"")</f>
        <v>19</v>
      </c>
      <c r="G48" s="1" t="str">
        <f aca="false">IF(Data!$H36="japan",Data!$A36,"")</f>
        <v/>
      </c>
    </row>
    <row r="49" customFormat="false" ht="15" hidden="false" customHeight="true" outlineLevel="0" collapsed="false">
      <c r="F49" s="21" t="n">
        <f aca="false">IF(Data!$H37="usa",Data!$A37,"")</f>
        <v>16</v>
      </c>
      <c r="G49" s="1" t="str">
        <f aca="false">IF(Data!$H37="japan",Data!$A37,"")</f>
        <v/>
      </c>
    </row>
    <row r="50" customFormat="false" ht="15" hidden="false" customHeight="true" outlineLevel="0" collapsed="false">
      <c r="F50" s="21" t="n">
        <f aca="false">IF(Data!$H38="usa",Data!$A38,"")</f>
        <v>17</v>
      </c>
      <c r="G50" s="1" t="str">
        <f aca="false">IF(Data!$H38="japan",Data!$A38,"")</f>
        <v/>
      </c>
    </row>
    <row r="51" customFormat="false" ht="15" hidden="false" customHeight="true" outlineLevel="0" collapsed="false">
      <c r="F51" s="21" t="n">
        <f aca="false">IF(Data!$H39="usa",Data!$A39,"")</f>
        <v>19</v>
      </c>
      <c r="G51" s="1" t="str">
        <f aca="false">IF(Data!$H39="japan",Data!$A39,"")</f>
        <v/>
      </c>
    </row>
    <row r="52" customFormat="false" ht="15" hidden="false" customHeight="true" outlineLevel="0" collapsed="false">
      <c r="F52" s="21" t="n">
        <f aca="false">IF(Data!$H40="usa",Data!$A40,"")</f>
        <v>18</v>
      </c>
      <c r="G52" s="1" t="str">
        <f aca="false">IF(Data!$H40="japan",Data!$A40,"")</f>
        <v/>
      </c>
    </row>
    <row r="53" customFormat="false" ht="15" hidden="false" customHeight="true" outlineLevel="0" collapsed="false">
      <c r="F53" s="21" t="n">
        <f aca="false">IF(Data!$H41="usa",Data!$A41,"")</f>
        <v>14</v>
      </c>
      <c r="G53" s="1" t="str">
        <f aca="false">IF(Data!$H41="japan",Data!$A41,"")</f>
        <v/>
      </c>
    </row>
    <row r="54" customFormat="false" ht="15" hidden="false" customHeight="true" outlineLevel="0" collapsed="false">
      <c r="F54" s="21" t="n">
        <f aca="false">IF(Data!$H42="usa",Data!$A42,"")</f>
        <v>14</v>
      </c>
      <c r="G54" s="1" t="str">
        <f aca="false">IF(Data!$H42="japan",Data!$A42,"")</f>
        <v/>
      </c>
    </row>
    <row r="55" customFormat="false" ht="15" hidden="false" customHeight="true" outlineLevel="0" collapsed="false">
      <c r="F55" s="21" t="n">
        <f aca="false">IF(Data!$H43="usa",Data!$A43,"")</f>
        <v>14</v>
      </c>
      <c r="G55" s="1" t="str">
        <f aca="false">IF(Data!$H43="japan",Data!$A43,"")</f>
        <v/>
      </c>
    </row>
    <row r="56" customFormat="false" ht="15" hidden="false" customHeight="true" outlineLevel="0" collapsed="false">
      <c r="F56" s="21" t="n">
        <f aca="false">IF(Data!$H44="usa",Data!$A44,"")</f>
        <v>14</v>
      </c>
      <c r="G56" s="1" t="str">
        <f aca="false">IF(Data!$H44="japan",Data!$A44,"")</f>
        <v/>
      </c>
    </row>
    <row r="57" customFormat="false" ht="15" hidden="false" customHeight="true" outlineLevel="0" collapsed="false">
      <c r="F57" s="21" t="n">
        <f aca="false">IF(Data!$H45="usa",Data!$A45,"")</f>
        <v>12</v>
      </c>
      <c r="G57" s="1" t="str">
        <f aca="false">IF(Data!$H45="japan",Data!$A45,"")</f>
        <v/>
      </c>
    </row>
    <row r="58" customFormat="false" ht="15" hidden="false" customHeight="true" outlineLevel="0" collapsed="false">
      <c r="F58" s="21" t="n">
        <f aca="false">IF(Data!$H46="usa",Data!$A46,"")</f>
        <v>13</v>
      </c>
      <c r="G58" s="1" t="str">
        <f aca="false">IF(Data!$H46="japan",Data!$A46,"")</f>
        <v/>
      </c>
    </row>
    <row r="59" customFormat="false" ht="15" hidden="false" customHeight="true" outlineLevel="0" collapsed="false">
      <c r="F59" s="21" t="n">
        <f aca="false">IF(Data!$H47="usa",Data!$A47,"")</f>
        <v>13</v>
      </c>
      <c r="G59" s="1" t="str">
        <f aca="false">IF(Data!$H47="japan",Data!$A47,"")</f>
        <v/>
      </c>
    </row>
    <row r="60" customFormat="false" ht="15" hidden="false" customHeight="true" outlineLevel="0" collapsed="false">
      <c r="F60" s="21" t="n">
        <f aca="false">IF(Data!$H48="usa",Data!$A48,"")</f>
        <v>18</v>
      </c>
      <c r="G60" s="1" t="str">
        <f aca="false">IF(Data!$H48="japan",Data!$A48,"")</f>
        <v/>
      </c>
    </row>
    <row r="61" customFormat="false" ht="15" hidden="false" customHeight="true" outlineLevel="0" collapsed="false">
      <c r="F61" s="21" t="n">
        <f aca="false">IF(Data!$H49="usa",Data!$A49,"")</f>
        <v>22</v>
      </c>
      <c r="G61" s="1" t="str">
        <f aca="false">IF(Data!$H49="japan",Data!$A49,"")</f>
        <v/>
      </c>
    </row>
    <row r="62" customFormat="false" ht="15" hidden="false" customHeight="true" outlineLevel="0" collapsed="false">
      <c r="F62" s="21" t="n">
        <f aca="false">IF(Data!$H50="usa",Data!$A50,"")</f>
        <v>19</v>
      </c>
      <c r="G62" s="1" t="str">
        <f aca="false">IF(Data!$H50="japan",Data!$A50,"")</f>
        <v/>
      </c>
    </row>
    <row r="63" customFormat="false" ht="15" hidden="false" customHeight="true" outlineLevel="0" collapsed="false">
      <c r="F63" s="21" t="n">
        <f aca="false">IF(Data!$H51="usa",Data!$A51,"")</f>
        <v>18</v>
      </c>
      <c r="G63" s="1" t="str">
        <f aca="false">IF(Data!$H51="japan",Data!$A51,"")</f>
        <v/>
      </c>
    </row>
    <row r="64" customFormat="false" ht="15" hidden="false" customHeight="true" outlineLevel="0" collapsed="false">
      <c r="F64" s="21" t="n">
        <f aca="false">IF(Data!$H52="usa",Data!$A52,"")</f>
        <v>23</v>
      </c>
      <c r="G64" s="1" t="str">
        <f aca="false">IF(Data!$H52="japan",Data!$A52,"")</f>
        <v/>
      </c>
    </row>
    <row r="65" customFormat="false" ht="15" hidden="false" customHeight="true" outlineLevel="0" collapsed="false">
      <c r="F65" s="1" t="str">
        <f aca="false">IF(Data!$H53="usa",Data!$A53,"")</f>
        <v/>
      </c>
      <c r="G65" s="1" t="str">
        <f aca="false">IF(Data!$H53="japan",Data!$A53,"")</f>
        <v/>
      </c>
    </row>
    <row r="66" customFormat="false" ht="15" hidden="false" customHeight="true" outlineLevel="0" collapsed="false">
      <c r="F66" s="1" t="str">
        <f aca="false">IF(Data!$H54="usa",Data!$A54,"")</f>
        <v/>
      </c>
      <c r="G66" s="1" t="str">
        <f aca="false">IF(Data!$H54="japan",Data!$A54,"")</f>
        <v/>
      </c>
    </row>
    <row r="67" customFormat="false" ht="15" hidden="false" customHeight="true" outlineLevel="0" collapsed="false">
      <c r="F67" s="1" t="str">
        <f aca="false">IF(Data!$H55="usa",Data!$A55,"")</f>
        <v/>
      </c>
      <c r="G67" s="1" t="str">
        <f aca="false">IF(Data!$H55="japan",Data!$A55,"")</f>
        <v/>
      </c>
    </row>
    <row r="68" customFormat="false" ht="15" hidden="false" customHeight="true" outlineLevel="0" collapsed="false">
      <c r="F68" s="1" t="str">
        <f aca="false">IF(Data!$H56="usa",Data!$A56,"")</f>
        <v/>
      </c>
      <c r="G68" s="21" t="n">
        <f aca="false">IF(Data!$H56="japan",Data!$A56,"")</f>
        <v>31</v>
      </c>
    </row>
    <row r="69" customFormat="false" ht="15" hidden="false" customHeight="true" outlineLevel="0" collapsed="false">
      <c r="F69" s="1" t="str">
        <f aca="false">IF(Data!$H57="usa",Data!$A57,"")</f>
        <v/>
      </c>
      <c r="G69" s="21" t="n">
        <f aca="false">IF(Data!$H57="japan",Data!$A57,"")</f>
        <v>35</v>
      </c>
    </row>
    <row r="70" customFormat="false" ht="15" hidden="false" customHeight="true" outlineLevel="0" collapsed="false">
      <c r="F70" s="1" t="str">
        <f aca="false">IF(Data!$H58="usa",Data!$A58,"")</f>
        <v/>
      </c>
      <c r="G70" s="1" t="str">
        <f aca="false">IF(Data!$H58="japan",Data!$A58,"")</f>
        <v/>
      </c>
    </row>
    <row r="71" customFormat="false" ht="15" hidden="false" customHeight="true" outlineLevel="0" collapsed="false">
      <c r="F71" s="21" t="n">
        <f aca="false">IF(Data!$H59="usa",Data!$A59,"")</f>
        <v>26</v>
      </c>
      <c r="G71" s="1" t="str">
        <f aca="false">IF(Data!$H59="japan",Data!$A59,"")</f>
        <v/>
      </c>
    </row>
    <row r="72" customFormat="false" ht="15" hidden="false" customHeight="true" outlineLevel="0" collapsed="false">
      <c r="F72" s="1" t="str">
        <f aca="false">IF(Data!$H60="usa",Data!$A60,"")</f>
        <v/>
      </c>
      <c r="G72" s="21" t="n">
        <f aca="false">IF(Data!$H60="japan",Data!$A60,"")</f>
        <v>24</v>
      </c>
    </row>
    <row r="73" customFormat="false" ht="15" hidden="false" customHeight="true" outlineLevel="0" collapsed="false">
      <c r="F73" s="21" t="n">
        <f aca="false">IF(Data!$H61="usa",Data!$A61,"")</f>
        <v>25</v>
      </c>
      <c r="G73" s="1" t="str">
        <f aca="false">IF(Data!$H61="japan",Data!$A61,"")</f>
        <v/>
      </c>
    </row>
    <row r="74" customFormat="false" ht="15" hidden="false" customHeight="true" outlineLevel="0" collapsed="false">
      <c r="F74" s="1" t="str">
        <f aca="false">IF(Data!$H62="usa",Data!$A62,"")</f>
        <v/>
      </c>
      <c r="G74" s="1" t="str">
        <f aca="false">IF(Data!$H62="japan",Data!$A62,"")</f>
        <v/>
      </c>
    </row>
    <row r="75" customFormat="false" ht="15" hidden="false" customHeight="true" outlineLevel="0" collapsed="false">
      <c r="F75" s="21" t="n">
        <f aca="false">IF(Data!$H63="usa",Data!$A63,"")</f>
        <v>20</v>
      </c>
      <c r="G75" s="1" t="str">
        <f aca="false">IF(Data!$H63="japan",Data!$A63,"")</f>
        <v/>
      </c>
    </row>
    <row r="76" customFormat="false" ht="15" hidden="false" customHeight="true" outlineLevel="0" collapsed="false">
      <c r="F76" s="21" t="n">
        <f aca="false">IF(Data!$H64="usa",Data!$A64,"")</f>
        <v>21</v>
      </c>
      <c r="G76" s="1" t="str">
        <f aca="false">IF(Data!$H64="japan",Data!$A64,"")</f>
        <v/>
      </c>
    </row>
    <row r="77" customFormat="false" ht="15" hidden="false" customHeight="true" outlineLevel="0" collapsed="false">
      <c r="F77" s="21" t="n">
        <f aca="false">IF(Data!$H65="usa",Data!$A65,"")</f>
        <v>13</v>
      </c>
      <c r="G77" s="1" t="str">
        <f aca="false">IF(Data!$H65="japan",Data!$A65,"")</f>
        <v/>
      </c>
    </row>
    <row r="78" customFormat="false" ht="15" hidden="false" customHeight="true" outlineLevel="0" collapsed="false">
      <c r="F78" s="21" t="n">
        <f aca="false">IF(Data!$H66="usa",Data!$A66,"")</f>
        <v>14</v>
      </c>
      <c r="G78" s="1" t="str">
        <f aca="false">IF(Data!$H66="japan",Data!$A66,"")</f>
        <v/>
      </c>
    </row>
    <row r="79" customFormat="false" ht="15" hidden="false" customHeight="true" outlineLevel="0" collapsed="false">
      <c r="F79" s="21" t="n">
        <f aca="false">IF(Data!$H67="usa",Data!$A67,"")</f>
        <v>15</v>
      </c>
      <c r="G79" s="1" t="str">
        <f aca="false">IF(Data!$H67="japan",Data!$A67,"")</f>
        <v/>
      </c>
    </row>
    <row r="80" customFormat="false" ht="15" hidden="false" customHeight="true" outlineLevel="0" collapsed="false">
      <c r="F80" s="21" t="n">
        <f aca="false">IF(Data!$H68="usa",Data!$A68,"")</f>
        <v>14</v>
      </c>
      <c r="G80" s="1" t="str">
        <f aca="false">IF(Data!$H68="japan",Data!$A68,"")</f>
        <v/>
      </c>
    </row>
    <row r="81" customFormat="false" ht="15" hidden="false" customHeight="true" outlineLevel="0" collapsed="false">
      <c r="F81" s="21" t="n">
        <f aca="false">IF(Data!$H69="usa",Data!$A69,"")</f>
        <v>17</v>
      </c>
      <c r="G81" s="1" t="str">
        <f aca="false">IF(Data!$H69="japan",Data!$A69,"")</f>
        <v/>
      </c>
    </row>
    <row r="82" customFormat="false" ht="15" hidden="false" customHeight="true" outlineLevel="0" collapsed="false">
      <c r="F82" s="21" t="n">
        <f aca="false">IF(Data!$H70="usa",Data!$A70,"")</f>
        <v>11</v>
      </c>
      <c r="G82" s="1" t="str">
        <f aca="false">IF(Data!$H70="japan",Data!$A70,"")</f>
        <v/>
      </c>
    </row>
    <row r="83" customFormat="false" ht="15" hidden="false" customHeight="true" outlineLevel="0" collapsed="false">
      <c r="F83" s="21" t="n">
        <f aca="false">IF(Data!$H71="usa",Data!$A71,"")</f>
        <v>13</v>
      </c>
      <c r="G83" s="1" t="str">
        <f aca="false">IF(Data!$H71="japan",Data!$A71,"")</f>
        <v/>
      </c>
    </row>
    <row r="84" customFormat="false" ht="15" hidden="false" customHeight="true" outlineLevel="0" collapsed="false">
      <c r="F84" s="21" t="n">
        <f aca="false">IF(Data!$H72="usa",Data!$A72,"")</f>
        <v>12</v>
      </c>
      <c r="G84" s="1" t="str">
        <f aca="false">IF(Data!$H72="japan",Data!$A72,"")</f>
        <v/>
      </c>
    </row>
    <row r="85" customFormat="false" ht="15" hidden="false" customHeight="true" outlineLevel="0" collapsed="false">
      <c r="F85" s="21" t="n">
        <f aca="false">IF(Data!$H73="usa",Data!$A73,"")</f>
        <v>13</v>
      </c>
      <c r="G85" s="1" t="str">
        <f aca="false">IF(Data!$H73="japan",Data!$A73,"")</f>
        <v/>
      </c>
    </row>
    <row r="86" customFormat="false" ht="15" hidden="false" customHeight="true" outlineLevel="0" collapsed="false">
      <c r="F86" s="1" t="str">
        <f aca="false">IF(Data!$H74="usa",Data!$A74,"")</f>
        <v/>
      </c>
      <c r="G86" s="21" t="n">
        <f aca="false">IF(Data!$H74="japan",Data!$A74,"")</f>
        <v>19</v>
      </c>
    </row>
    <row r="87" customFormat="false" ht="15" hidden="false" customHeight="true" outlineLevel="0" collapsed="false">
      <c r="F87" s="21" t="n">
        <f aca="false">IF(Data!$H75="usa",Data!$A75,"")</f>
        <v>15</v>
      </c>
      <c r="G87" s="1" t="str">
        <f aca="false">IF(Data!$H75="japan",Data!$A75,"")</f>
        <v/>
      </c>
    </row>
    <row r="88" customFormat="false" ht="15" hidden="false" customHeight="true" outlineLevel="0" collapsed="false">
      <c r="F88" s="21" t="n">
        <f aca="false">IF(Data!$H76="usa",Data!$A76,"")</f>
        <v>13</v>
      </c>
      <c r="G88" s="1" t="str">
        <f aca="false">IF(Data!$H76="japan",Data!$A76,"")</f>
        <v/>
      </c>
    </row>
    <row r="89" customFormat="false" ht="15" hidden="false" customHeight="true" outlineLevel="0" collapsed="false">
      <c r="F89" s="21" t="n">
        <f aca="false">IF(Data!$H77="usa",Data!$A77,"")</f>
        <v>13</v>
      </c>
      <c r="G89" s="1" t="str">
        <f aca="false">IF(Data!$H77="japan",Data!$A77,"")</f>
        <v/>
      </c>
    </row>
    <row r="90" customFormat="false" ht="15" hidden="false" customHeight="true" outlineLevel="0" collapsed="false">
      <c r="F90" s="21" t="n">
        <f aca="false">IF(Data!$H78="usa",Data!$A78,"")</f>
        <v>14</v>
      </c>
      <c r="G90" s="1" t="str">
        <f aca="false">IF(Data!$H78="japan",Data!$A78,"")</f>
        <v/>
      </c>
    </row>
    <row r="91" customFormat="false" ht="15" hidden="false" customHeight="true" outlineLevel="0" collapsed="false">
      <c r="F91" s="1" t="str">
        <f aca="false">IF(Data!$H79="usa",Data!$A79,"")</f>
        <v/>
      </c>
      <c r="G91" s="1" t="str">
        <f aca="false">IF(Data!$H79="japan",Data!$A79,"")</f>
        <v/>
      </c>
    </row>
    <row r="92" customFormat="false" ht="15" hidden="false" customHeight="true" outlineLevel="0" collapsed="false">
      <c r="F92" s="1" t="str">
        <f aca="false">IF(Data!$H80="usa",Data!$A80,"")</f>
        <v/>
      </c>
      <c r="G92" s="1" t="str">
        <f aca="false">IF(Data!$H80="japan",Data!$A80,"")</f>
        <v/>
      </c>
    </row>
    <row r="93" customFormat="false" ht="15" hidden="false" customHeight="true" outlineLevel="0" collapsed="false">
      <c r="F93" s="1" t="str">
        <f aca="false">IF(Data!$H81="usa",Data!$A81,"")</f>
        <v/>
      </c>
      <c r="G93" s="1" t="str">
        <f aca="false">IF(Data!$H81="japan",Data!$A81,"")</f>
        <v/>
      </c>
    </row>
    <row r="94" customFormat="false" ht="15" hidden="false" customHeight="true" outlineLevel="0" collapsed="false">
      <c r="F94" s="1" t="str">
        <f aca="false">IF(Data!$H82="usa",Data!$A82,"")</f>
        <v/>
      </c>
      <c r="G94" s="1" t="str">
        <f aca="false">IF(Data!$H82="japan",Data!$A82,"")</f>
        <v/>
      </c>
    </row>
    <row r="95" customFormat="false" ht="15" hidden="false" customHeight="true" outlineLevel="0" collapsed="false">
      <c r="F95" s="21" t="n">
        <f aca="false">IF(Data!$H83="usa",Data!$A83,"")</f>
        <v>22</v>
      </c>
      <c r="G95" s="1" t="str">
        <f aca="false">IF(Data!$H83="japan",Data!$A83,"")</f>
        <v/>
      </c>
    </row>
    <row r="96" customFormat="false" ht="15" hidden="false" customHeight="true" outlineLevel="0" collapsed="false">
      <c r="F96" s="1" t="str">
        <f aca="false">IF(Data!$H84="usa",Data!$A84,"")</f>
        <v/>
      </c>
      <c r="G96" s="21" t="n">
        <f aca="false">IF(Data!$H84="japan",Data!$A84,"")</f>
        <v>28</v>
      </c>
    </row>
    <row r="97" customFormat="false" ht="15" hidden="false" customHeight="true" outlineLevel="0" collapsed="false">
      <c r="F97" s="1" t="str">
        <f aca="false">IF(Data!$H85="usa",Data!$A85,"")</f>
        <v/>
      </c>
      <c r="G97" s="21" t="n">
        <f aca="false">IF(Data!$H85="japan",Data!$A85,"")</f>
        <v>23</v>
      </c>
    </row>
    <row r="98" customFormat="false" ht="15" hidden="false" customHeight="true" outlineLevel="0" collapsed="false">
      <c r="F98" s="21" t="n">
        <f aca="false">IF(Data!$H86="usa",Data!$A86,"")</f>
        <v>28</v>
      </c>
      <c r="G98" s="1" t="str">
        <f aca="false">IF(Data!$H86="japan",Data!$A86,"")</f>
        <v/>
      </c>
    </row>
    <row r="99" customFormat="false" ht="15" hidden="false" customHeight="true" outlineLevel="0" collapsed="false">
      <c r="F99" s="1" t="str">
        <f aca="false">IF(Data!$H87="usa",Data!$A87,"")</f>
        <v/>
      </c>
      <c r="G99" s="21" t="n">
        <f aca="false">IF(Data!$H87="japan",Data!$A87,"")</f>
        <v>27</v>
      </c>
    </row>
    <row r="100" customFormat="false" ht="15" hidden="false" customHeight="true" outlineLevel="0" collapsed="false">
      <c r="F100" s="21" t="n">
        <f aca="false">IF(Data!$H88="usa",Data!$A88,"")</f>
        <v>13</v>
      </c>
      <c r="G100" s="1" t="str">
        <f aca="false">IF(Data!$H88="japan",Data!$A88,"")</f>
        <v/>
      </c>
    </row>
    <row r="101" customFormat="false" ht="15" hidden="false" customHeight="true" outlineLevel="0" collapsed="false">
      <c r="F101" s="21" t="n">
        <f aca="false">IF(Data!$H89="usa",Data!$A89,"")</f>
        <v>14</v>
      </c>
      <c r="G101" s="1" t="str">
        <f aca="false">IF(Data!$H89="japan",Data!$A89,"")</f>
        <v/>
      </c>
    </row>
    <row r="102" customFormat="false" ht="15" hidden="false" customHeight="true" outlineLevel="0" collapsed="false">
      <c r="F102" s="21" t="n">
        <f aca="false">IF(Data!$H90="usa",Data!$A90,"")</f>
        <v>13</v>
      </c>
      <c r="G102" s="1" t="str">
        <f aca="false">IF(Data!$H90="japan",Data!$A90,"")</f>
        <v/>
      </c>
    </row>
    <row r="103" customFormat="false" ht="15" hidden="false" customHeight="true" outlineLevel="0" collapsed="false">
      <c r="F103" s="21" t="n">
        <f aca="false">IF(Data!$H91="usa",Data!$A91,"")</f>
        <v>14</v>
      </c>
      <c r="G103" s="1" t="str">
        <f aca="false">IF(Data!$H91="japan",Data!$A91,"")</f>
        <v/>
      </c>
    </row>
    <row r="104" customFormat="false" ht="15" hidden="false" customHeight="true" outlineLevel="0" collapsed="false">
      <c r="F104" s="21" t="n">
        <f aca="false">IF(Data!$H92="usa",Data!$A92,"")</f>
        <v>15</v>
      </c>
      <c r="G104" s="1" t="str">
        <f aca="false">IF(Data!$H92="japan",Data!$A92,"")</f>
        <v/>
      </c>
    </row>
    <row r="105" customFormat="false" ht="15" hidden="false" customHeight="true" outlineLevel="0" collapsed="false">
      <c r="F105" s="21" t="n">
        <f aca="false">IF(Data!$H93="usa",Data!$A93,"")</f>
        <v>12</v>
      </c>
      <c r="G105" s="1" t="str">
        <f aca="false">IF(Data!$H93="japan",Data!$A93,"")</f>
        <v/>
      </c>
    </row>
    <row r="106" customFormat="false" ht="15" hidden="false" customHeight="true" outlineLevel="0" collapsed="false">
      <c r="F106" s="21" t="n">
        <f aca="false">IF(Data!$H94="usa",Data!$A94,"")</f>
        <v>13</v>
      </c>
      <c r="G106" s="1" t="str">
        <f aca="false">IF(Data!$H94="japan",Data!$A94,"")</f>
        <v/>
      </c>
    </row>
    <row r="107" customFormat="false" ht="15" hidden="false" customHeight="true" outlineLevel="0" collapsed="false">
      <c r="F107" s="21" t="n">
        <f aca="false">IF(Data!$H95="usa",Data!$A95,"")</f>
        <v>13</v>
      </c>
      <c r="G107" s="1" t="str">
        <f aca="false">IF(Data!$H95="japan",Data!$A95,"")</f>
        <v/>
      </c>
    </row>
    <row r="108" customFormat="false" ht="15" hidden="false" customHeight="true" outlineLevel="0" collapsed="false">
      <c r="F108" s="21" t="n">
        <f aca="false">IF(Data!$H96="usa",Data!$A96,"")</f>
        <v>14</v>
      </c>
      <c r="G108" s="1" t="str">
        <f aca="false">IF(Data!$H96="japan",Data!$A96,"")</f>
        <v/>
      </c>
    </row>
    <row r="109" customFormat="false" ht="15" hidden="false" customHeight="true" outlineLevel="0" collapsed="false">
      <c r="F109" s="21" t="n">
        <f aca="false">IF(Data!$H97="usa",Data!$A97,"")</f>
        <v>13</v>
      </c>
      <c r="G109" s="1" t="str">
        <f aca="false">IF(Data!$H97="japan",Data!$A97,"")</f>
        <v/>
      </c>
    </row>
    <row r="110" customFormat="false" ht="15" hidden="false" customHeight="true" outlineLevel="0" collapsed="false">
      <c r="F110" s="21" t="n">
        <f aca="false">IF(Data!$H98="usa",Data!$A98,"")</f>
        <v>12</v>
      </c>
      <c r="G110" s="1" t="str">
        <f aca="false">IF(Data!$H98="japan",Data!$A98,"")</f>
        <v/>
      </c>
    </row>
    <row r="111" customFormat="false" ht="15" hidden="false" customHeight="true" outlineLevel="0" collapsed="false">
      <c r="F111" s="21" t="n">
        <f aca="false">IF(Data!$H99="usa",Data!$A99,"")</f>
        <v>13</v>
      </c>
      <c r="G111" s="1" t="str">
        <f aca="false">IF(Data!$H99="japan",Data!$A99,"")</f>
        <v/>
      </c>
    </row>
    <row r="112" customFormat="false" ht="15" hidden="false" customHeight="true" outlineLevel="0" collapsed="false">
      <c r="F112" s="21" t="n">
        <f aca="false">IF(Data!$H100="usa",Data!$A100,"")</f>
        <v>18</v>
      </c>
      <c r="G112" s="1" t="str">
        <f aca="false">IF(Data!$H100="japan",Data!$A100,"")</f>
        <v/>
      </c>
    </row>
    <row r="113" customFormat="false" ht="15" hidden="false" customHeight="true" outlineLevel="0" collapsed="false">
      <c r="F113" s="21" t="n">
        <f aca="false">IF(Data!$H101="usa",Data!$A101,"")</f>
        <v>16</v>
      </c>
      <c r="G113" s="1" t="str">
        <f aca="false">IF(Data!$H101="japan",Data!$A101,"")</f>
        <v/>
      </c>
    </row>
    <row r="114" customFormat="false" ht="15" hidden="false" customHeight="true" outlineLevel="0" collapsed="false">
      <c r="F114" s="21" t="n">
        <f aca="false">IF(Data!$H102="usa",Data!$A102,"")</f>
        <v>18</v>
      </c>
      <c r="G114" s="1" t="str">
        <f aca="false">IF(Data!$H102="japan",Data!$A102,"")</f>
        <v/>
      </c>
    </row>
    <row r="115" customFormat="false" ht="15" hidden="false" customHeight="true" outlineLevel="0" collapsed="false">
      <c r="F115" s="21" t="n">
        <f aca="false">IF(Data!$H103="usa",Data!$A103,"")</f>
        <v>18</v>
      </c>
      <c r="G115" s="1" t="str">
        <f aca="false">IF(Data!$H103="japan",Data!$A103,"")</f>
        <v/>
      </c>
    </row>
    <row r="116" customFormat="false" ht="15" hidden="false" customHeight="true" outlineLevel="0" collapsed="false">
      <c r="F116" s="21" t="n">
        <f aca="false">IF(Data!$H104="usa",Data!$A104,"")</f>
        <v>23</v>
      </c>
      <c r="G116" s="1" t="str">
        <f aca="false">IF(Data!$H104="japan",Data!$A104,"")</f>
        <v/>
      </c>
    </row>
    <row r="117" customFormat="false" ht="15" hidden="false" customHeight="true" outlineLevel="0" collapsed="false">
      <c r="F117" s="1" t="str">
        <f aca="false">IF(Data!$H105="usa",Data!$A105,"")</f>
        <v/>
      </c>
      <c r="G117" s="1" t="str">
        <f aca="false">IF(Data!$H105="japan",Data!$A105,"")</f>
        <v/>
      </c>
    </row>
    <row r="118" customFormat="false" ht="15" hidden="false" customHeight="true" outlineLevel="0" collapsed="false">
      <c r="F118" s="21" t="n">
        <f aca="false">IF(Data!$H106="usa",Data!$A106,"")</f>
        <v>11</v>
      </c>
      <c r="G118" s="1" t="str">
        <f aca="false">IF(Data!$H106="japan",Data!$A106,"")</f>
        <v/>
      </c>
    </row>
    <row r="119" customFormat="false" ht="15" hidden="false" customHeight="true" outlineLevel="0" collapsed="false">
      <c r="F119" s="21" t="n">
        <f aca="false">IF(Data!$H107="usa",Data!$A107,"")</f>
        <v>12</v>
      </c>
      <c r="G119" s="1" t="str">
        <f aca="false">IF(Data!$H107="japan",Data!$A107,"")</f>
        <v/>
      </c>
    </row>
    <row r="120" customFormat="false" ht="15" hidden="false" customHeight="true" outlineLevel="0" collapsed="false">
      <c r="F120" s="21" t="n">
        <f aca="false">IF(Data!$H108="usa",Data!$A108,"")</f>
        <v>13</v>
      </c>
      <c r="G120" s="1" t="str">
        <f aca="false">IF(Data!$H108="japan",Data!$A108,"")</f>
        <v/>
      </c>
    </row>
    <row r="121" customFormat="false" ht="15" hidden="false" customHeight="true" outlineLevel="0" collapsed="false">
      <c r="F121" s="21" t="n">
        <f aca="false">IF(Data!$H109="usa",Data!$A109,"")</f>
        <v>12</v>
      </c>
      <c r="G121" s="1" t="str">
        <f aca="false">IF(Data!$H109="japan",Data!$A109,"")</f>
        <v/>
      </c>
    </row>
    <row r="122" customFormat="false" ht="15" hidden="false" customHeight="true" outlineLevel="0" collapsed="false">
      <c r="F122" s="21" t="n">
        <f aca="false">IF(Data!$H110="usa",Data!$A110,"")</f>
        <v>18</v>
      </c>
      <c r="G122" s="1" t="str">
        <f aca="false">IF(Data!$H110="japan",Data!$A110,"")</f>
        <v/>
      </c>
    </row>
    <row r="123" customFormat="false" ht="15" hidden="false" customHeight="true" outlineLevel="0" collapsed="false">
      <c r="F123" s="1" t="str">
        <f aca="false">IF(Data!$H111="usa",Data!$A111,"")</f>
        <v/>
      </c>
      <c r="G123" s="21" t="n">
        <f aca="false">IF(Data!$H111="japan",Data!$A111,"")</f>
        <v>20</v>
      </c>
    </row>
    <row r="124" customFormat="false" ht="15" hidden="false" customHeight="true" outlineLevel="0" collapsed="false">
      <c r="F124" s="21" t="n">
        <f aca="false">IF(Data!$H112="usa",Data!$A112,"")</f>
        <v>21</v>
      </c>
      <c r="G124" s="1" t="str">
        <f aca="false">IF(Data!$H112="japan",Data!$A112,"")</f>
        <v/>
      </c>
    </row>
    <row r="125" customFormat="false" ht="15" hidden="false" customHeight="true" outlineLevel="0" collapsed="false">
      <c r="F125" s="1" t="str">
        <f aca="false">IF(Data!$H113="usa",Data!$A113,"")</f>
        <v/>
      </c>
      <c r="G125" s="21" t="n">
        <f aca="false">IF(Data!$H113="japan",Data!$A113,"")</f>
        <v>22</v>
      </c>
    </row>
    <row r="126" customFormat="false" ht="15" hidden="false" customHeight="true" outlineLevel="0" collapsed="false">
      <c r="F126" s="1" t="str">
        <f aca="false">IF(Data!$H114="usa",Data!$A114,"")</f>
        <v/>
      </c>
      <c r="G126" s="21" t="n">
        <f aca="false">IF(Data!$H114="japan",Data!$A114,"")</f>
        <v>18</v>
      </c>
    </row>
    <row r="127" customFormat="false" ht="15" hidden="false" customHeight="true" outlineLevel="0" collapsed="false">
      <c r="F127" s="21" t="n">
        <f aca="false">IF(Data!$H115="usa",Data!$A115,"")</f>
        <v>19</v>
      </c>
      <c r="G127" s="1" t="str">
        <f aca="false">IF(Data!$H115="japan",Data!$A115,"")</f>
        <v/>
      </c>
    </row>
    <row r="128" customFormat="false" ht="15" hidden="false" customHeight="true" outlineLevel="0" collapsed="false">
      <c r="F128" s="21" t="n">
        <f aca="false">IF(Data!$H116="usa",Data!$A116,"")</f>
        <v>21</v>
      </c>
      <c r="G128" s="1" t="str">
        <f aca="false">IF(Data!$H116="japan",Data!$A116,"")</f>
        <v/>
      </c>
    </row>
    <row r="129" customFormat="false" ht="15" hidden="false" customHeight="true" outlineLevel="0" collapsed="false">
      <c r="F129" s="1" t="str">
        <f aca="false">IF(Data!$H117="usa",Data!$A117,"")</f>
        <v/>
      </c>
      <c r="G129" s="1" t="str">
        <f aca="false">IF(Data!$H117="japan",Data!$A117,"")</f>
        <v/>
      </c>
    </row>
    <row r="130" customFormat="false" ht="15" hidden="false" customHeight="true" outlineLevel="0" collapsed="false">
      <c r="F130" s="21" t="n">
        <f aca="false">IF(Data!$H118="usa",Data!$A118,"")</f>
        <v>15</v>
      </c>
      <c r="G130" s="1" t="str">
        <f aca="false">IF(Data!$H118="japan",Data!$A118,"")</f>
        <v/>
      </c>
    </row>
    <row r="131" customFormat="false" ht="15" hidden="false" customHeight="true" outlineLevel="0" collapsed="false">
      <c r="F131" s="21" t="n">
        <f aca="false">IF(Data!$H119="usa",Data!$A119,"")</f>
        <v>16</v>
      </c>
      <c r="G131" s="1" t="str">
        <f aca="false">IF(Data!$H119="japan",Data!$A119,"")</f>
        <v/>
      </c>
    </row>
    <row r="132" customFormat="false" ht="15" hidden="false" customHeight="true" outlineLevel="0" collapsed="false">
      <c r="F132" s="1" t="str">
        <f aca="false">IF(Data!$H120="usa",Data!$A120,"")</f>
        <v/>
      </c>
      <c r="G132" s="1" t="str">
        <f aca="false">IF(Data!$H120="japan",Data!$A120,"")</f>
        <v/>
      </c>
    </row>
    <row r="133" customFormat="false" ht="15" hidden="false" customHeight="true" outlineLevel="0" collapsed="false">
      <c r="F133" s="1" t="str">
        <f aca="false">IF(Data!$H121="usa",Data!$A121,"")</f>
        <v/>
      </c>
      <c r="G133" s="1" t="str">
        <f aca="false">IF(Data!$H121="japan",Data!$A121,"")</f>
        <v/>
      </c>
    </row>
    <row r="134" customFormat="false" ht="15" hidden="false" customHeight="true" outlineLevel="0" collapsed="false">
      <c r="F134" s="1" t="str">
        <f aca="false">IF(Data!$H122="usa",Data!$A122,"")</f>
        <v/>
      </c>
      <c r="G134" s="1" t="str">
        <f aca="false">IF(Data!$H122="japan",Data!$A122,"")</f>
        <v/>
      </c>
    </row>
    <row r="135" customFormat="false" ht="15" hidden="false" customHeight="true" outlineLevel="0" collapsed="false">
      <c r="F135" s="1" t="str">
        <f aca="false">IF(Data!$H123="usa",Data!$A123,"")</f>
        <v/>
      </c>
      <c r="G135" s="1" t="str">
        <f aca="false">IF(Data!$H123="japan",Data!$A123,"")</f>
        <v/>
      </c>
    </row>
    <row r="136" customFormat="false" ht="15" hidden="false" customHeight="true" outlineLevel="0" collapsed="false">
      <c r="F136" s="21" t="n">
        <f aca="false">IF(Data!$H124="usa",Data!$A124,"")</f>
        <v>15</v>
      </c>
      <c r="G136" s="1" t="str">
        <f aca="false">IF(Data!$H124="japan",Data!$A124,"")</f>
        <v/>
      </c>
    </row>
    <row r="137" customFormat="false" ht="15" hidden="false" customHeight="true" outlineLevel="0" collapsed="false">
      <c r="F137" s="1" t="str">
        <f aca="false">IF(Data!$H125="usa",Data!$A125,"")</f>
        <v/>
      </c>
      <c r="G137" s="1" t="str">
        <f aca="false">IF(Data!$H125="japan",Data!$A125,"")</f>
        <v/>
      </c>
    </row>
    <row r="138" customFormat="false" ht="15" hidden="false" customHeight="true" outlineLevel="0" collapsed="false">
      <c r="F138" s="1" t="str">
        <f aca="false">IF(Data!$H126="usa",Data!$A126,"")</f>
        <v/>
      </c>
      <c r="G138" s="21" t="n">
        <f aca="false">IF(Data!$H126="japan",Data!$A126,"")</f>
        <v>20</v>
      </c>
    </row>
    <row r="139" customFormat="false" ht="15" hidden="false" customHeight="true" outlineLevel="0" collapsed="false">
      <c r="F139" s="21" t="n">
        <f aca="false">IF(Data!$H127="usa",Data!$A127,"")</f>
        <v>11</v>
      </c>
      <c r="G139" s="1" t="str">
        <f aca="false">IF(Data!$H127="japan",Data!$A127,"")</f>
        <v/>
      </c>
    </row>
    <row r="140" customFormat="false" ht="15" hidden="false" customHeight="true" outlineLevel="0" collapsed="false">
      <c r="F140" s="21" t="n">
        <f aca="false">IF(Data!$H128="usa",Data!$A128,"")</f>
        <v>20</v>
      </c>
      <c r="G140" s="1" t="str">
        <f aca="false">IF(Data!$H128="japan",Data!$A128,"")</f>
        <v/>
      </c>
    </row>
    <row r="141" customFormat="false" ht="15" hidden="false" customHeight="true" outlineLevel="0" collapsed="false">
      <c r="F141" s="21" t="n">
        <f aca="false">IF(Data!$H129="usa",Data!$A129,"")</f>
        <v>21</v>
      </c>
      <c r="G141" s="1" t="str">
        <f aca="false">IF(Data!$H129="japan",Data!$A129,"")</f>
        <v/>
      </c>
    </row>
    <row r="142" customFormat="false" ht="15" hidden="false" customHeight="true" outlineLevel="0" collapsed="false">
      <c r="F142" s="21" t="n">
        <f aca="false">IF(Data!$H130="usa",Data!$A130,"")</f>
        <v>19</v>
      </c>
      <c r="G142" s="1" t="str">
        <f aca="false">IF(Data!$H130="japan",Data!$A130,"")</f>
        <v/>
      </c>
    </row>
    <row r="143" customFormat="false" ht="15" hidden="false" customHeight="true" outlineLevel="0" collapsed="false">
      <c r="F143" s="21" t="n">
        <f aca="false">IF(Data!$H131="usa",Data!$A131,"")</f>
        <v>15</v>
      </c>
      <c r="G143" s="1" t="str">
        <f aca="false">IF(Data!$H131="japan",Data!$A131,"")</f>
        <v/>
      </c>
    </row>
    <row r="144" customFormat="false" ht="15" hidden="false" customHeight="true" outlineLevel="0" collapsed="false">
      <c r="F144" s="1" t="str">
        <f aca="false">IF(Data!$H132="usa",Data!$A132,"")</f>
        <v/>
      </c>
      <c r="G144" s="21" t="n">
        <f aca="false">IF(Data!$H132="japan",Data!$A132,"")</f>
        <v>31</v>
      </c>
    </row>
    <row r="145" customFormat="false" ht="15" hidden="false" customHeight="true" outlineLevel="0" collapsed="false">
      <c r="F145" s="21" t="n">
        <f aca="false">IF(Data!$H133="usa",Data!$A133,"")</f>
        <v>26</v>
      </c>
      <c r="G145" s="1" t="str">
        <f aca="false">IF(Data!$H133="japan",Data!$A133,"")</f>
        <v/>
      </c>
    </row>
    <row r="146" customFormat="false" ht="15" hidden="false" customHeight="true" outlineLevel="0" collapsed="false">
      <c r="F146" s="1" t="str">
        <f aca="false">IF(Data!$H134="usa",Data!$A134,"")</f>
        <v/>
      </c>
      <c r="G146" s="21" t="n">
        <f aca="false">IF(Data!$H134="japan",Data!$A134,"")</f>
        <v>32</v>
      </c>
    </row>
    <row r="147" customFormat="false" ht="15" hidden="false" customHeight="true" outlineLevel="0" collapsed="false">
      <c r="F147" s="21" t="n">
        <f aca="false">IF(Data!$H135="usa",Data!$A135,"")</f>
        <v>25</v>
      </c>
      <c r="G147" s="1" t="str">
        <f aca="false">IF(Data!$H135="japan",Data!$A135,"")</f>
        <v/>
      </c>
    </row>
    <row r="148" customFormat="false" ht="15" hidden="false" customHeight="true" outlineLevel="0" collapsed="false">
      <c r="F148" s="21" t="n">
        <f aca="false">IF(Data!$H136="usa",Data!$A136,"")</f>
        <v>16</v>
      </c>
      <c r="G148" s="1" t="str">
        <f aca="false">IF(Data!$H136="japan",Data!$A136,"")</f>
        <v/>
      </c>
    </row>
    <row r="149" customFormat="false" ht="15" hidden="false" customHeight="true" outlineLevel="0" collapsed="false">
      <c r="F149" s="21" t="n">
        <f aca="false">IF(Data!$H137="usa",Data!$A137,"")</f>
        <v>16</v>
      </c>
      <c r="G149" s="1" t="str">
        <f aca="false">IF(Data!$H137="japan",Data!$A137,"")</f>
        <v/>
      </c>
    </row>
    <row r="150" customFormat="false" ht="15" hidden="false" customHeight="true" outlineLevel="0" collapsed="false">
      <c r="F150" s="21" t="n">
        <f aca="false">IF(Data!$H138="usa",Data!$A138,"")</f>
        <v>18</v>
      </c>
      <c r="G150" s="1" t="str">
        <f aca="false">IF(Data!$H138="japan",Data!$A138,"")</f>
        <v/>
      </c>
    </row>
    <row r="151" customFormat="false" ht="15" hidden="false" customHeight="true" outlineLevel="0" collapsed="false">
      <c r="F151" s="21" t="n">
        <f aca="false">IF(Data!$H139="usa",Data!$A139,"")</f>
        <v>16</v>
      </c>
      <c r="G151" s="1" t="str">
        <f aca="false">IF(Data!$H139="japan",Data!$A139,"")</f>
        <v/>
      </c>
    </row>
    <row r="152" customFormat="false" ht="15" hidden="false" customHeight="true" outlineLevel="0" collapsed="false">
      <c r="F152" s="21" t="n">
        <f aca="false">IF(Data!$H140="usa",Data!$A140,"")</f>
        <v>13</v>
      </c>
      <c r="G152" s="1" t="str">
        <f aca="false">IF(Data!$H140="japan",Data!$A140,"")</f>
        <v/>
      </c>
    </row>
    <row r="153" customFormat="false" ht="15" hidden="false" customHeight="true" outlineLevel="0" collapsed="false">
      <c r="F153" s="21" t="n">
        <f aca="false">IF(Data!$H141="usa",Data!$A141,"")</f>
        <v>14</v>
      </c>
      <c r="G153" s="1" t="str">
        <f aca="false">IF(Data!$H141="japan",Data!$A141,"")</f>
        <v/>
      </c>
    </row>
    <row r="154" customFormat="false" ht="15" hidden="false" customHeight="true" outlineLevel="0" collapsed="false">
      <c r="F154" s="21" t="n">
        <f aca="false">IF(Data!$H142="usa",Data!$A142,"")</f>
        <v>14</v>
      </c>
      <c r="G154" s="1" t="str">
        <f aca="false">IF(Data!$H142="japan",Data!$A142,"")</f>
        <v/>
      </c>
    </row>
    <row r="155" customFormat="false" ht="15" hidden="false" customHeight="true" outlineLevel="0" collapsed="false">
      <c r="F155" s="21" t="n">
        <f aca="false">IF(Data!$H143="usa",Data!$A143,"")</f>
        <v>14</v>
      </c>
      <c r="G155" s="1" t="str">
        <f aca="false">IF(Data!$H143="japan",Data!$A143,"")</f>
        <v/>
      </c>
    </row>
    <row r="156" customFormat="false" ht="15" hidden="false" customHeight="true" outlineLevel="0" collapsed="false">
      <c r="F156" s="1" t="str">
        <f aca="false">IF(Data!$H144="usa",Data!$A144,"")</f>
        <v/>
      </c>
      <c r="G156" s="1" t="str">
        <f aca="false">IF(Data!$H144="japan",Data!$A144,"")</f>
        <v/>
      </c>
    </row>
    <row r="157" customFormat="false" ht="15" hidden="false" customHeight="true" outlineLevel="0" collapsed="false">
      <c r="F157" s="1" t="str">
        <f aca="false">IF(Data!$H145="usa",Data!$A145,"")</f>
        <v/>
      </c>
      <c r="G157" s="1" t="str">
        <f aca="false">IF(Data!$H145="japan",Data!$A145,"")</f>
        <v/>
      </c>
    </row>
    <row r="158" customFormat="false" ht="15" hidden="false" customHeight="true" outlineLevel="0" collapsed="false">
      <c r="F158" s="1" t="str">
        <f aca="false">IF(Data!$H146="usa",Data!$A146,"")</f>
        <v/>
      </c>
      <c r="G158" s="1" t="str">
        <f aca="false">IF(Data!$H146="japan",Data!$A146,"")</f>
        <v/>
      </c>
    </row>
    <row r="159" customFormat="false" ht="15" hidden="false" customHeight="true" outlineLevel="0" collapsed="false">
      <c r="F159" s="1" t="str">
        <f aca="false">IF(Data!$H147="usa",Data!$A147,"")</f>
        <v/>
      </c>
      <c r="G159" s="21" t="n">
        <f aca="false">IF(Data!$H147="japan",Data!$A147,"")</f>
        <v>31</v>
      </c>
    </row>
    <row r="160" customFormat="false" ht="15" hidden="false" customHeight="true" outlineLevel="0" collapsed="false">
      <c r="F160" s="1" t="str">
        <f aca="false">IF(Data!$H148="usa",Data!$A148,"")</f>
        <v/>
      </c>
      <c r="G160" s="21" t="n">
        <f aca="false">IF(Data!$H148="japan",Data!$A148,"")</f>
        <v>32</v>
      </c>
    </row>
    <row r="161" customFormat="false" ht="15" hidden="false" customHeight="true" outlineLevel="0" collapsed="false">
      <c r="F161" s="21" t="n">
        <f aca="false">IF(Data!$H149="usa",Data!$A149,"")</f>
        <v>28</v>
      </c>
      <c r="G161" s="1" t="str">
        <f aca="false">IF(Data!$H149="japan",Data!$A149,"")</f>
        <v/>
      </c>
    </row>
    <row r="162" customFormat="false" ht="15" hidden="false" customHeight="true" outlineLevel="0" collapsed="false">
      <c r="F162" s="1" t="str">
        <f aca="false">IF(Data!$H150="usa",Data!$A150,"")</f>
        <v/>
      </c>
      <c r="G162" s="1" t="str">
        <f aca="false">IF(Data!$H150="japan",Data!$A150,"")</f>
        <v/>
      </c>
    </row>
    <row r="163" customFormat="false" ht="15" hidden="false" customHeight="true" outlineLevel="0" collapsed="false">
      <c r="F163" s="1" t="str">
        <f aca="false">IF(Data!$H151="usa",Data!$A151,"")</f>
        <v/>
      </c>
      <c r="G163" s="1" t="str">
        <f aca="false">IF(Data!$H151="japan",Data!$A151,"")</f>
        <v/>
      </c>
    </row>
    <row r="164" customFormat="false" ht="15" hidden="false" customHeight="true" outlineLevel="0" collapsed="false">
      <c r="F164" s="1" t="str">
        <f aca="false">IF(Data!$H152="usa",Data!$A152,"")</f>
        <v/>
      </c>
      <c r="G164" s="21" t="n">
        <f aca="false">IF(Data!$H152="japan",Data!$A152,"")</f>
        <v>24</v>
      </c>
    </row>
    <row r="165" customFormat="false" ht="15" hidden="false" customHeight="true" outlineLevel="0" collapsed="false">
      <c r="F165" s="1" t="str">
        <f aca="false">IF(Data!$H153="usa",Data!$A153,"")</f>
        <v/>
      </c>
      <c r="G165" s="21" t="n">
        <f aca="false">IF(Data!$H153="japan",Data!$A153,"")</f>
        <v>26</v>
      </c>
    </row>
    <row r="166" customFormat="false" ht="15" hidden="false" customHeight="true" outlineLevel="0" collapsed="false">
      <c r="F166" s="1" t="str">
        <f aca="false">IF(Data!$H154="usa",Data!$A154,"")</f>
        <v/>
      </c>
      <c r="G166" s="1" t="str">
        <f aca="false">IF(Data!$H154="japan",Data!$A154,"")</f>
        <v/>
      </c>
    </row>
    <row r="167" customFormat="false" ht="15" hidden="false" customHeight="true" outlineLevel="0" collapsed="false">
      <c r="F167" s="21" t="n">
        <f aca="false">IF(Data!$H155="usa",Data!$A155,"")</f>
        <v>19</v>
      </c>
      <c r="G167" s="1" t="str">
        <f aca="false">IF(Data!$H155="japan",Data!$A155,"")</f>
        <v/>
      </c>
    </row>
    <row r="168" customFormat="false" ht="15" hidden="false" customHeight="true" outlineLevel="0" collapsed="false">
      <c r="F168" s="21" t="n">
        <f aca="false">IF(Data!$H156="usa",Data!$A156,"")</f>
        <v>18</v>
      </c>
      <c r="G168" s="1" t="str">
        <f aca="false">IF(Data!$H156="japan",Data!$A156,"")</f>
        <v/>
      </c>
    </row>
    <row r="169" customFormat="false" ht="15" hidden="false" customHeight="true" outlineLevel="0" collapsed="false">
      <c r="F169" s="21" t="n">
        <f aca="false">IF(Data!$H157="usa",Data!$A157,"")</f>
        <v>15</v>
      </c>
      <c r="G169" s="1" t="str">
        <f aca="false">IF(Data!$H157="japan",Data!$A157,"")</f>
        <v/>
      </c>
    </row>
    <row r="170" customFormat="false" ht="15" hidden="false" customHeight="true" outlineLevel="0" collapsed="false">
      <c r="F170" s="21" t="n">
        <f aca="false">IF(Data!$H158="usa",Data!$A158,"")</f>
        <v>15</v>
      </c>
      <c r="G170" s="1" t="str">
        <f aca="false">IF(Data!$H158="japan",Data!$A158,"")</f>
        <v/>
      </c>
    </row>
    <row r="171" customFormat="false" ht="15" hidden="false" customHeight="true" outlineLevel="0" collapsed="false">
      <c r="F171" s="21" t="n">
        <f aca="false">IF(Data!$H159="usa",Data!$A159,"")</f>
        <v>16</v>
      </c>
      <c r="G171" s="1" t="str">
        <f aca="false">IF(Data!$H159="japan",Data!$A159,"")</f>
        <v/>
      </c>
    </row>
    <row r="172" customFormat="false" ht="15" hidden="false" customHeight="true" outlineLevel="0" collapsed="false">
      <c r="F172" s="21" t="n">
        <f aca="false">IF(Data!$H160="usa",Data!$A160,"")</f>
        <v>15</v>
      </c>
      <c r="G172" s="1" t="str">
        <f aca="false">IF(Data!$H160="japan",Data!$A160,"")</f>
        <v/>
      </c>
    </row>
    <row r="173" customFormat="false" ht="15" hidden="false" customHeight="true" outlineLevel="0" collapsed="false">
      <c r="F173" s="21" t="n">
        <f aca="false">IF(Data!$H161="usa",Data!$A161,"")</f>
        <v>16</v>
      </c>
      <c r="G173" s="1" t="str">
        <f aca="false">IF(Data!$H161="japan",Data!$A161,"")</f>
        <v/>
      </c>
    </row>
    <row r="174" customFormat="false" ht="15" hidden="false" customHeight="true" outlineLevel="0" collapsed="false">
      <c r="F174" s="21" t="n">
        <f aca="false">IF(Data!$H162="usa",Data!$A162,"")</f>
        <v>14</v>
      </c>
      <c r="G174" s="1" t="str">
        <f aca="false">IF(Data!$H162="japan",Data!$A162,"")</f>
        <v/>
      </c>
    </row>
    <row r="175" customFormat="false" ht="15" hidden="false" customHeight="true" outlineLevel="0" collapsed="false">
      <c r="F175" s="21" t="n">
        <f aca="false">IF(Data!$H163="usa",Data!$A163,"")</f>
        <v>17</v>
      </c>
      <c r="G175" s="1" t="str">
        <f aca="false">IF(Data!$H163="japan",Data!$A163,"")</f>
        <v/>
      </c>
    </row>
    <row r="176" customFormat="false" ht="15" hidden="false" customHeight="true" outlineLevel="0" collapsed="false">
      <c r="F176" s="21" t="n">
        <f aca="false">IF(Data!$H164="usa",Data!$A164,"")</f>
        <v>16</v>
      </c>
      <c r="G176" s="1" t="str">
        <f aca="false">IF(Data!$H164="japan",Data!$A164,"")</f>
        <v/>
      </c>
    </row>
    <row r="177" customFormat="false" ht="15" hidden="false" customHeight="true" outlineLevel="0" collapsed="false">
      <c r="F177" s="21" t="n">
        <f aca="false">IF(Data!$H165="usa",Data!$A165,"")</f>
        <v>15</v>
      </c>
      <c r="G177" s="1" t="str">
        <f aca="false">IF(Data!$H165="japan",Data!$A165,"")</f>
        <v/>
      </c>
    </row>
    <row r="178" customFormat="false" ht="15" hidden="false" customHeight="true" outlineLevel="0" collapsed="false">
      <c r="F178" s="21" t="n">
        <f aca="false">IF(Data!$H166="usa",Data!$A166,"")</f>
        <v>18</v>
      </c>
      <c r="G178" s="1" t="str">
        <f aca="false">IF(Data!$H166="japan",Data!$A166,"")</f>
        <v/>
      </c>
    </row>
    <row r="179" customFormat="false" ht="15" hidden="false" customHeight="true" outlineLevel="0" collapsed="false">
      <c r="F179" s="21" t="n">
        <f aca="false">IF(Data!$H167="usa",Data!$A167,"")</f>
        <v>21</v>
      </c>
      <c r="G179" s="1" t="str">
        <f aca="false">IF(Data!$H167="japan",Data!$A167,"")</f>
        <v/>
      </c>
    </row>
    <row r="180" customFormat="false" ht="15" hidden="false" customHeight="true" outlineLevel="0" collapsed="false">
      <c r="F180" s="21" t="n">
        <f aca="false">IF(Data!$H168="usa",Data!$A168,"")</f>
        <v>20</v>
      </c>
      <c r="G180" s="1" t="str">
        <f aca="false">IF(Data!$H168="japan",Data!$A168,"")</f>
        <v/>
      </c>
    </row>
    <row r="181" customFormat="false" ht="15" hidden="false" customHeight="true" outlineLevel="0" collapsed="false">
      <c r="F181" s="21" t="n">
        <f aca="false">IF(Data!$H169="usa",Data!$A169,"")</f>
        <v>13</v>
      </c>
      <c r="G181" s="1" t="str">
        <f aca="false">IF(Data!$H169="japan",Data!$A169,"")</f>
        <v/>
      </c>
    </row>
    <row r="182" customFormat="false" ht="15" hidden="false" customHeight="true" outlineLevel="0" collapsed="false">
      <c r="F182" s="1" t="str">
        <f aca="false">IF(Data!$H170="usa",Data!$A170,"")</f>
        <v/>
      </c>
      <c r="G182" s="21" t="n">
        <f aca="false">IF(Data!$H170="japan",Data!$A170,"")</f>
        <v>29</v>
      </c>
    </row>
    <row r="183" customFormat="false" ht="15" hidden="false" customHeight="true" outlineLevel="0" collapsed="false">
      <c r="F183" s="21" t="n">
        <f aca="false">IF(Data!$H171="usa",Data!$A171,"")</f>
        <v>23</v>
      </c>
      <c r="G183" s="1" t="str">
        <f aca="false">IF(Data!$H171="japan",Data!$A171,"")</f>
        <v/>
      </c>
    </row>
    <row r="184" customFormat="false" ht="15" hidden="false" customHeight="true" outlineLevel="0" collapsed="false">
      <c r="F184" s="21" t="n">
        <f aca="false">IF(Data!$H172="usa",Data!$A172,"")</f>
        <v>20</v>
      </c>
      <c r="G184" s="1" t="str">
        <f aca="false">IF(Data!$H172="japan",Data!$A172,"")</f>
        <v/>
      </c>
    </row>
    <row r="185" customFormat="false" ht="15" hidden="false" customHeight="true" outlineLevel="0" collapsed="false">
      <c r="F185" s="21" t="n">
        <f aca="false">IF(Data!$H173="usa",Data!$A173,"")</f>
        <v>23</v>
      </c>
      <c r="G185" s="1" t="str">
        <f aca="false">IF(Data!$H173="japan",Data!$A173,"")</f>
        <v/>
      </c>
    </row>
    <row r="186" customFormat="false" ht="15" hidden="false" customHeight="true" outlineLevel="0" collapsed="false">
      <c r="F186" s="1" t="str">
        <f aca="false">IF(Data!$H174="usa",Data!$A174,"")</f>
        <v/>
      </c>
      <c r="G186" s="21" t="n">
        <f aca="false">IF(Data!$H174="japan",Data!$A174,"")</f>
        <v>24</v>
      </c>
    </row>
    <row r="187" customFormat="false" ht="15" hidden="false" customHeight="true" outlineLevel="0" collapsed="false">
      <c r="F187" s="1" t="str">
        <f aca="false">IF(Data!$H175="usa",Data!$A175,"")</f>
        <v/>
      </c>
      <c r="G187" s="1" t="str">
        <f aca="false">IF(Data!$H175="japan",Data!$A175,"")</f>
        <v/>
      </c>
    </row>
    <row r="188" customFormat="false" ht="15" hidden="false" customHeight="true" outlineLevel="0" collapsed="false">
      <c r="F188" s="1" t="str">
        <f aca="false">IF(Data!$H176="usa",Data!$A176,"")</f>
        <v/>
      </c>
      <c r="G188" s="21" t="n">
        <f aca="false">IF(Data!$H176="japan",Data!$A176,"")</f>
        <v>24</v>
      </c>
    </row>
    <row r="189" customFormat="false" ht="15" hidden="false" customHeight="true" outlineLevel="0" collapsed="false">
      <c r="F189" s="21" t="n">
        <f aca="false">IF(Data!$H177="usa",Data!$A177,"")</f>
        <v>18</v>
      </c>
      <c r="G189" s="1" t="str">
        <f aca="false">IF(Data!$H177="japan",Data!$A177,"")</f>
        <v/>
      </c>
    </row>
    <row r="190" customFormat="false" ht="15" hidden="false" customHeight="true" outlineLevel="0" collapsed="false">
      <c r="F190" s="1" t="str">
        <f aca="false">IF(Data!$H178="usa",Data!$A178,"")</f>
        <v/>
      </c>
      <c r="G190" s="1" t="str">
        <f aca="false">IF(Data!$H178="japan",Data!$A178,"")</f>
        <v/>
      </c>
    </row>
    <row r="191" customFormat="false" ht="15" hidden="false" customHeight="true" outlineLevel="0" collapsed="false">
      <c r="F191" s="21" t="n">
        <f aca="false">IF(Data!$H179="usa",Data!$A179,"")</f>
        <v>19</v>
      </c>
      <c r="G191" s="1" t="str">
        <f aca="false">IF(Data!$H179="japan",Data!$A179,"")</f>
        <v/>
      </c>
    </row>
    <row r="192" customFormat="false" ht="15" hidden="false" customHeight="true" outlineLevel="0" collapsed="false">
      <c r="F192" s="1" t="str">
        <f aca="false">IF(Data!$H180="usa",Data!$A180,"")</f>
        <v/>
      </c>
      <c r="G192" s="1" t="str">
        <f aca="false">IF(Data!$H180="japan",Data!$A180,"")</f>
        <v/>
      </c>
    </row>
    <row r="193" customFormat="false" ht="15" hidden="false" customHeight="true" outlineLevel="0" collapsed="false">
      <c r="F193" s="1" t="str">
        <f aca="false">IF(Data!$H181="usa",Data!$A181,"")</f>
        <v/>
      </c>
      <c r="G193" s="1" t="str">
        <f aca="false">IF(Data!$H181="japan",Data!$A181,"")</f>
        <v/>
      </c>
    </row>
    <row r="194" customFormat="false" ht="15" hidden="false" customHeight="true" outlineLevel="0" collapsed="false">
      <c r="F194" s="1" t="str">
        <f aca="false">IF(Data!$H182="usa",Data!$A182,"")</f>
        <v/>
      </c>
      <c r="G194" s="1" t="str">
        <f aca="false">IF(Data!$H182="japan",Data!$A182,"")</f>
        <v/>
      </c>
    </row>
    <row r="195" customFormat="false" ht="15" hidden="false" customHeight="true" outlineLevel="0" collapsed="false">
      <c r="F195" s="1" t="str">
        <f aca="false">IF(Data!$H183="usa",Data!$A183,"")</f>
        <v/>
      </c>
      <c r="G195" s="1" t="str">
        <f aca="false">IF(Data!$H183="japan",Data!$A183,"")</f>
        <v/>
      </c>
    </row>
    <row r="196" customFormat="false" ht="15" hidden="false" customHeight="true" outlineLevel="0" collapsed="false">
      <c r="F196" s="1" t="str">
        <f aca="false">IF(Data!$H184="usa",Data!$A184,"")</f>
        <v/>
      </c>
      <c r="G196" s="21" t="n">
        <f aca="false">IF(Data!$H184="japan",Data!$A184,"")</f>
        <v>33</v>
      </c>
    </row>
    <row r="197" customFormat="false" ht="15" hidden="false" customHeight="true" outlineLevel="0" collapsed="false">
      <c r="F197" s="1" t="str">
        <f aca="false">IF(Data!$H185="usa",Data!$A185,"")</f>
        <v/>
      </c>
      <c r="G197" s="1" t="str">
        <f aca="false">IF(Data!$H185="japan",Data!$A185,"")</f>
        <v/>
      </c>
    </row>
    <row r="198" customFormat="false" ht="15" hidden="false" customHeight="true" outlineLevel="0" collapsed="false">
      <c r="F198" s="1" t="str">
        <f aca="false">IF(Data!$H186="usa",Data!$A186,"")</f>
        <v/>
      </c>
      <c r="G198" s="1" t="str">
        <f aca="false">IF(Data!$H186="japan",Data!$A186,"")</f>
        <v/>
      </c>
    </row>
    <row r="199" customFormat="false" ht="15" hidden="false" customHeight="true" outlineLevel="0" collapsed="false">
      <c r="F199" s="21" t="n">
        <f aca="false">IF(Data!$H187="usa",Data!$A187,"")</f>
        <v>25</v>
      </c>
      <c r="G199" s="1" t="str">
        <f aca="false">IF(Data!$H187="japan",Data!$A187,"")</f>
        <v/>
      </c>
    </row>
    <row r="200" customFormat="false" ht="15" hidden="false" customHeight="true" outlineLevel="0" collapsed="false">
      <c r="F200" s="21" t="n">
        <f aca="false">IF(Data!$H188="usa",Data!$A188,"")</f>
        <v>26</v>
      </c>
      <c r="G200" s="1" t="str">
        <f aca="false">IF(Data!$H188="japan",Data!$A188,"")</f>
        <v/>
      </c>
    </row>
    <row r="201" customFormat="false" ht="15" hidden="false" customHeight="true" outlineLevel="0" collapsed="false">
      <c r="F201" s="1" t="str">
        <f aca="false">IF(Data!$H189="usa",Data!$A189,"")</f>
        <v/>
      </c>
      <c r="G201" s="1" t="str">
        <f aca="false">IF(Data!$H189="japan",Data!$A189,"")</f>
        <v/>
      </c>
    </row>
    <row r="202" customFormat="false" ht="15" hidden="false" customHeight="true" outlineLevel="0" collapsed="false">
      <c r="F202" s="21" t="n">
        <f aca="false">IF(Data!$H190="usa",Data!$A190,"")</f>
        <v>17.5</v>
      </c>
      <c r="G202" s="1" t="str">
        <f aca="false">IF(Data!$H190="japan",Data!$A190,"")</f>
        <v/>
      </c>
    </row>
    <row r="203" customFormat="false" ht="15" hidden="false" customHeight="true" outlineLevel="0" collapsed="false">
      <c r="F203" s="21" t="n">
        <f aca="false">IF(Data!$H191="usa",Data!$A191,"")</f>
        <v>16</v>
      </c>
      <c r="G203" s="1" t="str">
        <f aca="false">IF(Data!$H191="japan",Data!$A191,"")</f>
        <v/>
      </c>
    </row>
    <row r="204" customFormat="false" ht="15" hidden="false" customHeight="true" outlineLevel="0" collapsed="false">
      <c r="F204" s="21" t="n">
        <f aca="false">IF(Data!$H192="usa",Data!$A192,"")</f>
        <v>15.5</v>
      </c>
      <c r="G204" s="1" t="str">
        <f aca="false">IF(Data!$H192="japan",Data!$A192,"")</f>
        <v/>
      </c>
    </row>
    <row r="205" customFormat="false" ht="15" hidden="false" customHeight="true" outlineLevel="0" collapsed="false">
      <c r="F205" s="21" t="n">
        <f aca="false">IF(Data!$H193="usa",Data!$A193,"")</f>
        <v>14.5</v>
      </c>
      <c r="G205" s="1" t="str">
        <f aca="false">IF(Data!$H193="japan",Data!$A193,"")</f>
        <v/>
      </c>
    </row>
    <row r="206" customFormat="false" ht="15" hidden="false" customHeight="true" outlineLevel="0" collapsed="false">
      <c r="F206" s="21" t="n">
        <f aca="false">IF(Data!$H194="usa",Data!$A194,"")</f>
        <v>22</v>
      </c>
      <c r="G206" s="1" t="str">
        <f aca="false">IF(Data!$H194="japan",Data!$A194,"")</f>
        <v/>
      </c>
    </row>
    <row r="207" customFormat="false" ht="15" hidden="false" customHeight="true" outlineLevel="0" collapsed="false">
      <c r="F207" s="21" t="n">
        <f aca="false">IF(Data!$H195="usa",Data!$A195,"")</f>
        <v>22</v>
      </c>
      <c r="G207" s="1" t="str">
        <f aca="false">IF(Data!$H195="japan",Data!$A195,"")</f>
        <v/>
      </c>
    </row>
    <row r="208" customFormat="false" ht="15" hidden="false" customHeight="true" outlineLevel="0" collapsed="false">
      <c r="F208" s="21" t="n">
        <f aca="false">IF(Data!$H196="usa",Data!$A196,"")</f>
        <v>24</v>
      </c>
      <c r="G208" s="1" t="str">
        <f aca="false">IF(Data!$H196="japan",Data!$A196,"")</f>
        <v/>
      </c>
    </row>
    <row r="209" customFormat="false" ht="15" hidden="false" customHeight="true" outlineLevel="0" collapsed="false">
      <c r="F209" s="21" t="n">
        <f aca="false">IF(Data!$H197="usa",Data!$A197,"")</f>
        <v>22.5</v>
      </c>
      <c r="G209" s="1" t="str">
        <f aca="false">IF(Data!$H197="japan",Data!$A197,"")</f>
        <v/>
      </c>
    </row>
    <row r="210" customFormat="false" ht="15" hidden="false" customHeight="true" outlineLevel="0" collapsed="false">
      <c r="F210" s="21" t="n">
        <f aca="false">IF(Data!$H198="usa",Data!$A198,"")</f>
        <v>29</v>
      </c>
      <c r="G210" s="1" t="str">
        <f aca="false">IF(Data!$H198="japan",Data!$A198,"")</f>
        <v/>
      </c>
    </row>
    <row r="211" customFormat="false" ht="15" hidden="false" customHeight="true" outlineLevel="0" collapsed="false">
      <c r="F211" s="21" t="n">
        <f aca="false">IF(Data!$H199="usa",Data!$A199,"")</f>
        <v>24.5</v>
      </c>
      <c r="G211" s="1" t="str">
        <f aca="false">IF(Data!$H199="japan",Data!$A199,"")</f>
        <v/>
      </c>
    </row>
    <row r="212" customFormat="false" ht="15" hidden="false" customHeight="true" outlineLevel="0" collapsed="false">
      <c r="F212" s="1" t="str">
        <f aca="false">IF(Data!$H200="usa",Data!$A200,"")</f>
        <v/>
      </c>
      <c r="G212" s="1" t="str">
        <f aca="false">IF(Data!$H200="japan",Data!$A200,"")</f>
        <v/>
      </c>
    </row>
    <row r="213" customFormat="false" ht="15" hidden="false" customHeight="true" outlineLevel="0" collapsed="false">
      <c r="F213" s="1" t="str">
        <f aca="false">IF(Data!$H201="usa",Data!$A201,"")</f>
        <v/>
      </c>
      <c r="G213" s="21" t="n">
        <f aca="false">IF(Data!$H201="japan",Data!$A201,"")</f>
        <v>33</v>
      </c>
    </row>
    <row r="214" customFormat="false" ht="15" hidden="false" customHeight="true" outlineLevel="0" collapsed="false">
      <c r="F214" s="21" t="n">
        <f aca="false">IF(Data!$H202="usa",Data!$A202,"")</f>
        <v>20</v>
      </c>
      <c r="G214" s="1" t="str">
        <f aca="false">IF(Data!$H202="japan",Data!$A202,"")</f>
        <v/>
      </c>
    </row>
    <row r="215" customFormat="false" ht="15" hidden="false" customHeight="true" outlineLevel="0" collapsed="false">
      <c r="F215" s="21" t="n">
        <f aca="false">IF(Data!$H203="usa",Data!$A203,"")</f>
        <v>18</v>
      </c>
      <c r="G215" s="1" t="str">
        <f aca="false">IF(Data!$H203="japan",Data!$A203,"")</f>
        <v/>
      </c>
    </row>
    <row r="216" customFormat="false" ht="15" hidden="false" customHeight="true" outlineLevel="0" collapsed="false">
      <c r="F216" s="21" t="n">
        <f aca="false">IF(Data!$H204="usa",Data!$A204,"")</f>
        <v>18.5</v>
      </c>
      <c r="G216" s="1" t="str">
        <f aca="false">IF(Data!$H204="japan",Data!$A204,"")</f>
        <v/>
      </c>
    </row>
    <row r="217" customFormat="false" ht="15" hidden="false" customHeight="true" outlineLevel="0" collapsed="false">
      <c r="F217" s="21" t="n">
        <f aca="false">IF(Data!$H205="usa",Data!$A205,"")</f>
        <v>17.5</v>
      </c>
      <c r="G217" s="1" t="str">
        <f aca="false">IF(Data!$H205="japan",Data!$A205,"")</f>
        <v/>
      </c>
    </row>
    <row r="218" customFormat="false" ht="15" hidden="false" customHeight="true" outlineLevel="0" collapsed="false">
      <c r="F218" s="1" t="str">
        <f aca="false">IF(Data!$H206="usa",Data!$A206,"")</f>
        <v/>
      </c>
      <c r="G218" s="1" t="str">
        <f aca="false">IF(Data!$H206="japan",Data!$A206,"")</f>
        <v/>
      </c>
    </row>
    <row r="219" customFormat="false" ht="15" hidden="false" customHeight="true" outlineLevel="0" collapsed="false">
      <c r="F219" s="1" t="str">
        <f aca="false">IF(Data!$H207="usa",Data!$A207,"")</f>
        <v/>
      </c>
      <c r="G219" s="21" t="n">
        <f aca="false">IF(Data!$H207="japan",Data!$A207,"")</f>
        <v>32</v>
      </c>
    </row>
    <row r="220" customFormat="false" ht="15" hidden="false" customHeight="true" outlineLevel="0" collapsed="false">
      <c r="F220" s="1" t="str">
        <f aca="false">IF(Data!$H208="usa",Data!$A208,"")</f>
        <v/>
      </c>
      <c r="G220" s="21" t="n">
        <f aca="false">IF(Data!$H208="japan",Data!$A208,"")</f>
        <v>28</v>
      </c>
    </row>
    <row r="221" customFormat="false" ht="15" hidden="false" customHeight="true" outlineLevel="0" collapsed="false">
      <c r="F221" s="21" t="n">
        <f aca="false">IF(Data!$H209="usa",Data!$A209,"")</f>
        <v>26.5</v>
      </c>
      <c r="G221" s="1" t="str">
        <f aca="false">IF(Data!$H209="japan",Data!$A209,"")</f>
        <v/>
      </c>
    </row>
    <row r="222" customFormat="false" ht="15" hidden="false" customHeight="true" outlineLevel="0" collapsed="false">
      <c r="F222" s="1" t="str">
        <f aca="false">IF(Data!$H210="usa",Data!$A210,"")</f>
        <v/>
      </c>
      <c r="G222" s="1" t="str">
        <f aca="false">IF(Data!$H210="japan",Data!$A210,"")</f>
        <v/>
      </c>
    </row>
    <row r="223" customFormat="false" ht="15" hidden="false" customHeight="true" outlineLevel="0" collapsed="false">
      <c r="F223" s="21" t="n">
        <f aca="false">IF(Data!$H211="usa",Data!$A211,"")</f>
        <v>13</v>
      </c>
      <c r="G223" s="1" t="str">
        <f aca="false">IF(Data!$H211="japan",Data!$A211,"")</f>
        <v/>
      </c>
    </row>
    <row r="224" customFormat="false" ht="15" hidden="false" customHeight="true" outlineLevel="0" collapsed="false">
      <c r="F224" s="1" t="str">
        <f aca="false">IF(Data!$H212="usa",Data!$A212,"")</f>
        <v/>
      </c>
      <c r="G224" s="1" t="str">
        <f aca="false">IF(Data!$H212="japan",Data!$A212,"")</f>
        <v/>
      </c>
    </row>
    <row r="225" customFormat="false" ht="15" hidden="false" customHeight="true" outlineLevel="0" collapsed="false">
      <c r="F225" s="1" t="str">
        <f aca="false">IF(Data!$H213="usa",Data!$A213,"")</f>
        <v/>
      </c>
      <c r="G225" s="21" t="n">
        <f aca="false">IF(Data!$H213="japan",Data!$A213,"")</f>
        <v>19</v>
      </c>
    </row>
    <row r="226" customFormat="false" ht="15" hidden="false" customHeight="true" outlineLevel="0" collapsed="false">
      <c r="F226" s="1" t="str">
        <f aca="false">IF(Data!$H214="usa",Data!$A214,"")</f>
        <v/>
      </c>
      <c r="G226" s="1" t="str">
        <f aca="false">IF(Data!$H214="japan",Data!$A214,"")</f>
        <v/>
      </c>
    </row>
    <row r="227" customFormat="false" ht="15" hidden="false" customHeight="true" outlineLevel="0" collapsed="false">
      <c r="F227" s="21" t="n">
        <f aca="false">IF(Data!$H215="usa",Data!$A215,"")</f>
        <v>16.5</v>
      </c>
      <c r="G227" s="1" t="str">
        <f aca="false">IF(Data!$H215="japan",Data!$A215,"")</f>
        <v/>
      </c>
    </row>
    <row r="228" customFormat="false" ht="15" hidden="false" customHeight="true" outlineLevel="0" collapsed="false">
      <c r="F228" s="21" t="n">
        <f aca="false">IF(Data!$H216="usa",Data!$A216,"")</f>
        <v>13</v>
      </c>
      <c r="G228" s="1" t="str">
        <f aca="false">IF(Data!$H216="japan",Data!$A216,"")</f>
        <v/>
      </c>
    </row>
    <row r="229" customFormat="false" ht="15" hidden="false" customHeight="true" outlineLevel="0" collapsed="false">
      <c r="F229" s="21" t="n">
        <f aca="false">IF(Data!$H217="usa",Data!$A217,"")</f>
        <v>13</v>
      </c>
      <c r="G229" s="1" t="str">
        <f aca="false">IF(Data!$H217="japan",Data!$A217,"")</f>
        <v/>
      </c>
    </row>
    <row r="230" customFormat="false" ht="15" hidden="false" customHeight="true" outlineLevel="0" collapsed="false">
      <c r="F230" s="21" t="n">
        <f aca="false">IF(Data!$H218="usa",Data!$A218,"")</f>
        <v>13</v>
      </c>
      <c r="G230" s="1" t="str">
        <f aca="false">IF(Data!$H218="japan",Data!$A218,"")</f>
        <v/>
      </c>
    </row>
    <row r="231" customFormat="false" ht="15" hidden="false" customHeight="true" outlineLevel="0" collapsed="false">
      <c r="F231" s="1" t="str">
        <f aca="false">IF(Data!$H219="usa",Data!$A219,"")</f>
        <v/>
      </c>
      <c r="G231" s="21" t="n">
        <f aca="false">IF(Data!$H219="japan",Data!$A219,"")</f>
        <v>31.5</v>
      </c>
    </row>
    <row r="232" customFormat="false" ht="15" hidden="false" customHeight="true" outlineLevel="0" collapsed="false">
      <c r="F232" s="21" t="n">
        <f aca="false">IF(Data!$H220="usa",Data!$A220,"")</f>
        <v>30</v>
      </c>
      <c r="G232" s="1" t="str">
        <f aca="false">IF(Data!$H220="japan",Data!$A220,"")</f>
        <v/>
      </c>
    </row>
    <row r="233" customFormat="false" ht="15" hidden="false" customHeight="true" outlineLevel="0" collapsed="false">
      <c r="F233" s="1" t="str">
        <f aca="false">IF(Data!$H221="usa",Data!$A221,"")</f>
        <v/>
      </c>
      <c r="G233" s="1" t="str">
        <f aca="false">IF(Data!$H221="japan",Data!$A221,"")</f>
        <v/>
      </c>
    </row>
    <row r="234" customFormat="false" ht="15" hidden="false" customHeight="true" outlineLevel="0" collapsed="false">
      <c r="F234" s="21" t="n">
        <f aca="false">IF(Data!$H222="usa",Data!$A222,"")</f>
        <v>25.5</v>
      </c>
      <c r="G234" s="1" t="str">
        <f aca="false">IF(Data!$H222="japan",Data!$A222,"")</f>
        <v/>
      </c>
    </row>
    <row r="235" customFormat="false" ht="15" hidden="false" customHeight="true" outlineLevel="0" collapsed="false">
      <c r="F235" s="1" t="str">
        <f aca="false">IF(Data!$H223="usa",Data!$A223,"")</f>
        <v/>
      </c>
      <c r="G235" s="21" t="n">
        <f aca="false">IF(Data!$H223="japan",Data!$A223,"")</f>
        <v>33.5</v>
      </c>
    </row>
    <row r="236" customFormat="false" ht="15" hidden="false" customHeight="true" outlineLevel="0" collapsed="false">
      <c r="F236" s="21" t="n">
        <f aca="false">IF(Data!$H224="usa",Data!$A224,"")</f>
        <v>17.5</v>
      </c>
      <c r="G236" s="1" t="str">
        <f aca="false">IF(Data!$H224="japan",Data!$A224,"")</f>
        <v/>
      </c>
    </row>
    <row r="237" customFormat="false" ht="15" hidden="false" customHeight="true" outlineLevel="0" collapsed="false">
      <c r="F237" s="21" t="n">
        <f aca="false">IF(Data!$H225="usa",Data!$A225,"")</f>
        <v>17</v>
      </c>
      <c r="G237" s="1" t="str">
        <f aca="false">IF(Data!$H225="japan",Data!$A225,"")</f>
        <v/>
      </c>
    </row>
    <row r="238" customFormat="false" ht="15" hidden="false" customHeight="true" outlineLevel="0" collapsed="false">
      <c r="F238" s="21" t="n">
        <f aca="false">IF(Data!$H226="usa",Data!$A226,"")</f>
        <v>15.5</v>
      </c>
      <c r="G238" s="1" t="str">
        <f aca="false">IF(Data!$H226="japan",Data!$A226,"")</f>
        <v/>
      </c>
    </row>
    <row r="239" customFormat="false" ht="15" hidden="false" customHeight="true" outlineLevel="0" collapsed="false">
      <c r="F239" s="21" t="n">
        <f aca="false">IF(Data!$H227="usa",Data!$A227,"")</f>
        <v>15</v>
      </c>
      <c r="G239" s="1" t="str">
        <f aca="false">IF(Data!$H227="japan",Data!$A227,"")</f>
        <v/>
      </c>
    </row>
    <row r="240" customFormat="false" ht="15" hidden="false" customHeight="true" outlineLevel="0" collapsed="false">
      <c r="F240" s="21" t="n">
        <f aca="false">IF(Data!$H228="usa",Data!$A228,"")</f>
        <v>17.5</v>
      </c>
      <c r="G240" s="1" t="str">
        <f aca="false">IF(Data!$H228="japan",Data!$A228,"")</f>
        <v/>
      </c>
    </row>
    <row r="241" customFormat="false" ht="15" hidden="false" customHeight="true" outlineLevel="0" collapsed="false">
      <c r="F241" s="21" t="n">
        <f aca="false">IF(Data!$H229="usa",Data!$A229,"")</f>
        <v>20.5</v>
      </c>
      <c r="G241" s="1" t="str">
        <f aca="false">IF(Data!$H229="japan",Data!$A229,"")</f>
        <v/>
      </c>
    </row>
    <row r="242" customFormat="false" ht="15" hidden="false" customHeight="true" outlineLevel="0" collapsed="false">
      <c r="F242" s="21" t="n">
        <f aca="false">IF(Data!$H230="usa",Data!$A230,"")</f>
        <v>19</v>
      </c>
      <c r="G242" s="1" t="str">
        <f aca="false">IF(Data!$H230="japan",Data!$A230,"")</f>
        <v/>
      </c>
    </row>
    <row r="243" customFormat="false" ht="15" hidden="false" customHeight="true" outlineLevel="0" collapsed="false">
      <c r="F243" s="21" t="n">
        <f aca="false">IF(Data!$H231="usa",Data!$A231,"")</f>
        <v>18.5</v>
      </c>
      <c r="G243" s="1" t="str">
        <f aca="false">IF(Data!$H231="japan",Data!$A231,"")</f>
        <v/>
      </c>
    </row>
    <row r="244" customFormat="false" ht="15" hidden="false" customHeight="true" outlineLevel="0" collapsed="false">
      <c r="F244" s="21" t="n">
        <f aca="false">IF(Data!$H232="usa",Data!$A232,"")</f>
        <v>16</v>
      </c>
      <c r="G244" s="1" t="str">
        <f aca="false">IF(Data!$H232="japan",Data!$A232,"")</f>
        <v/>
      </c>
    </row>
    <row r="245" customFormat="false" ht="15" hidden="false" customHeight="true" outlineLevel="0" collapsed="false">
      <c r="F245" s="21" t="n">
        <f aca="false">IF(Data!$H233="usa",Data!$A233,"")</f>
        <v>15.5</v>
      </c>
      <c r="G245" s="1" t="str">
        <f aca="false">IF(Data!$H233="japan",Data!$A233,"")</f>
        <v/>
      </c>
    </row>
    <row r="246" customFormat="false" ht="15" hidden="false" customHeight="true" outlineLevel="0" collapsed="false">
      <c r="F246" s="21" t="n">
        <f aca="false">IF(Data!$H234="usa",Data!$A234,"")</f>
        <v>15.5</v>
      </c>
      <c r="G246" s="1" t="str">
        <f aca="false">IF(Data!$H234="japan",Data!$A234,"")</f>
        <v/>
      </c>
    </row>
    <row r="247" customFormat="false" ht="15" hidden="false" customHeight="true" outlineLevel="0" collapsed="false">
      <c r="F247" s="21" t="n">
        <f aca="false">IF(Data!$H235="usa",Data!$A235,"")</f>
        <v>16</v>
      </c>
      <c r="G247" s="1" t="str">
        <f aca="false">IF(Data!$H235="japan",Data!$A235,"")</f>
        <v/>
      </c>
    </row>
    <row r="248" customFormat="false" ht="15" hidden="false" customHeight="true" outlineLevel="0" collapsed="false">
      <c r="F248" s="1" t="str">
        <f aca="false">IF(Data!$H236="usa",Data!$A236,"")</f>
        <v/>
      </c>
      <c r="G248" s="1" t="str">
        <f aca="false">IF(Data!$H236="japan",Data!$A236,"")</f>
        <v/>
      </c>
    </row>
    <row r="249" customFormat="false" ht="15" hidden="false" customHeight="true" outlineLevel="0" collapsed="false">
      <c r="F249" s="21" t="n">
        <f aca="false">IF(Data!$H237="usa",Data!$A237,"")</f>
        <v>24.5</v>
      </c>
      <c r="G249" s="1" t="str">
        <f aca="false">IF(Data!$H237="japan",Data!$A237,"")</f>
        <v/>
      </c>
    </row>
    <row r="250" customFormat="false" ht="15" hidden="false" customHeight="true" outlineLevel="0" collapsed="false">
      <c r="F250" s="1" t="str">
        <f aca="false">IF(Data!$H238="usa",Data!$A238,"")</f>
        <v/>
      </c>
      <c r="G250" s="21" t="n">
        <f aca="false">IF(Data!$H238="japan",Data!$A238,"")</f>
        <v>26</v>
      </c>
    </row>
    <row r="251" customFormat="false" ht="15" hidden="false" customHeight="true" outlineLevel="0" collapsed="false">
      <c r="F251" s="21" t="n">
        <f aca="false">IF(Data!$H239="usa",Data!$A239,"")</f>
        <v>25.5</v>
      </c>
      <c r="G251" s="1" t="str">
        <f aca="false">IF(Data!$H239="japan",Data!$A239,"")</f>
        <v/>
      </c>
    </row>
    <row r="252" customFormat="false" ht="15" hidden="false" customHeight="true" outlineLevel="0" collapsed="false">
      <c r="F252" s="21" t="n">
        <f aca="false">IF(Data!$H240="usa",Data!$A240,"")</f>
        <v>30.5</v>
      </c>
      <c r="G252" s="1" t="str">
        <f aca="false">IF(Data!$H240="japan",Data!$A240,"")</f>
        <v/>
      </c>
    </row>
    <row r="253" customFormat="false" ht="15" hidden="false" customHeight="true" outlineLevel="0" collapsed="false">
      <c r="F253" s="21" t="n">
        <f aca="false">IF(Data!$H241="usa",Data!$A241,"")</f>
        <v>33.5</v>
      </c>
      <c r="G253" s="1" t="str">
        <f aca="false">IF(Data!$H241="japan",Data!$A241,"")</f>
        <v/>
      </c>
    </row>
    <row r="254" customFormat="false" ht="15" hidden="false" customHeight="true" outlineLevel="0" collapsed="false">
      <c r="F254" s="1" t="str">
        <f aca="false">IF(Data!$H242="usa",Data!$A242,"")</f>
        <v/>
      </c>
      <c r="G254" s="21" t="n">
        <f aca="false">IF(Data!$H242="japan",Data!$A242,"")</f>
        <v>30</v>
      </c>
    </row>
    <row r="255" customFormat="false" ht="15" hidden="false" customHeight="true" outlineLevel="0" collapsed="false">
      <c r="F255" s="1" t="str">
        <f aca="false">IF(Data!$H243="usa",Data!$A243,"")</f>
        <v/>
      </c>
      <c r="G255" s="1" t="str">
        <f aca="false">IF(Data!$H243="japan",Data!$A243,"")</f>
        <v/>
      </c>
    </row>
    <row r="256" customFormat="false" ht="15" hidden="false" customHeight="true" outlineLevel="0" collapsed="false">
      <c r="F256" s="1" t="str">
        <f aca="false">IF(Data!$H244="usa",Data!$A244,"")</f>
        <v/>
      </c>
      <c r="G256" s="21" t="n">
        <f aca="false">IF(Data!$H244="japan",Data!$A244,"")</f>
        <v>22</v>
      </c>
    </row>
    <row r="257" customFormat="false" ht="15" hidden="false" customHeight="true" outlineLevel="0" collapsed="false">
      <c r="F257" s="1" t="str">
        <f aca="false">IF(Data!$H245="usa",Data!$A245,"")</f>
        <v/>
      </c>
      <c r="G257" s="1" t="str">
        <f aca="false">IF(Data!$H245="japan",Data!$A245,"")</f>
        <v/>
      </c>
    </row>
    <row r="258" customFormat="false" ht="15" hidden="false" customHeight="true" outlineLevel="0" collapsed="false">
      <c r="F258" s="1" t="str">
        <f aca="false">IF(Data!$H246="usa",Data!$A246,"")</f>
        <v/>
      </c>
      <c r="G258" s="21" t="n">
        <f aca="false">IF(Data!$H246="japan",Data!$A246,"")</f>
        <v>21.5</v>
      </c>
    </row>
    <row r="259" customFormat="false" ht="15" hidden="false" customHeight="true" outlineLevel="0" collapsed="false">
      <c r="F259" s="1" t="str">
        <f aca="false">IF(Data!$H247="usa",Data!$A247,"")</f>
        <v/>
      </c>
      <c r="G259" s="1" t="str">
        <f aca="false">IF(Data!$H247="japan",Data!$A247,"")</f>
        <v/>
      </c>
    </row>
    <row r="260" customFormat="false" ht="15" hidden="false" customHeight="true" outlineLevel="0" collapsed="false">
      <c r="F260" s="21" t="n">
        <f aca="false">IF(Data!$H248="usa",Data!$A248,"")</f>
        <v>36.1</v>
      </c>
      <c r="G260" s="1" t="str">
        <f aca="false">IF(Data!$H248="japan",Data!$A248,"")</f>
        <v/>
      </c>
    </row>
    <row r="261" customFormat="false" ht="15" hidden="false" customHeight="true" outlineLevel="0" collapsed="false">
      <c r="F261" s="1" t="str">
        <f aca="false">IF(Data!$H249="usa",Data!$A249,"")</f>
        <v/>
      </c>
      <c r="G261" s="21" t="n">
        <f aca="false">IF(Data!$H249="japan",Data!$A249,"")</f>
        <v>32.8</v>
      </c>
    </row>
    <row r="262" customFormat="false" ht="15" hidden="false" customHeight="true" outlineLevel="0" collapsed="false">
      <c r="F262" s="1" t="str">
        <f aca="false">IF(Data!$H250="usa",Data!$A250,"")</f>
        <v/>
      </c>
      <c r="G262" s="21" t="n">
        <f aca="false">IF(Data!$H250="japan",Data!$A250,"")</f>
        <v>39.4</v>
      </c>
    </row>
    <row r="263" customFormat="false" ht="15" hidden="false" customHeight="true" outlineLevel="0" collapsed="false">
      <c r="F263" s="1" t="str">
        <f aca="false">IF(Data!$H251="usa",Data!$A251,"")</f>
        <v/>
      </c>
      <c r="G263" s="21" t="n">
        <f aca="false">IF(Data!$H251="japan",Data!$A251,"")</f>
        <v>36.1</v>
      </c>
    </row>
    <row r="264" customFormat="false" ht="15" hidden="false" customHeight="true" outlineLevel="0" collapsed="false">
      <c r="F264" s="21" t="n">
        <f aca="false">IF(Data!$H252="usa",Data!$A252,"")</f>
        <v>19.9</v>
      </c>
      <c r="G264" s="1" t="str">
        <f aca="false">IF(Data!$H252="japan",Data!$A252,"")</f>
        <v/>
      </c>
    </row>
    <row r="265" customFormat="false" ht="15" hidden="false" customHeight="true" outlineLevel="0" collapsed="false">
      <c r="F265" s="21" t="n">
        <f aca="false">IF(Data!$H253="usa",Data!$A253,"")</f>
        <v>19.4</v>
      </c>
      <c r="G265" s="1" t="str">
        <f aca="false">IF(Data!$H253="japan",Data!$A253,"")</f>
        <v/>
      </c>
    </row>
    <row r="266" customFormat="false" ht="15" hidden="false" customHeight="true" outlineLevel="0" collapsed="false">
      <c r="F266" s="21" t="n">
        <f aca="false">IF(Data!$H254="usa",Data!$A254,"")</f>
        <v>20.2</v>
      </c>
      <c r="G266" s="1" t="str">
        <f aca="false">IF(Data!$H254="japan",Data!$A254,"")</f>
        <v/>
      </c>
    </row>
    <row r="267" customFormat="false" ht="15" hidden="false" customHeight="true" outlineLevel="0" collapsed="false">
      <c r="F267" s="21" t="n">
        <f aca="false">IF(Data!$H255="usa",Data!$A255,"")</f>
        <v>19.2</v>
      </c>
      <c r="G267" s="1" t="str">
        <f aca="false">IF(Data!$H255="japan",Data!$A255,"")</f>
        <v/>
      </c>
    </row>
    <row r="268" customFormat="false" ht="15" hidden="false" customHeight="true" outlineLevel="0" collapsed="false">
      <c r="F268" s="21" t="n">
        <f aca="false">IF(Data!$H256="usa",Data!$A256,"")</f>
        <v>20.5</v>
      </c>
      <c r="G268" s="1" t="str">
        <f aca="false">IF(Data!$H256="japan",Data!$A256,"")</f>
        <v/>
      </c>
    </row>
    <row r="269" customFormat="false" ht="15" hidden="false" customHeight="true" outlineLevel="0" collapsed="false">
      <c r="F269" s="21" t="n">
        <f aca="false">IF(Data!$H257="usa",Data!$A257,"")</f>
        <v>20.2</v>
      </c>
      <c r="G269" s="1" t="str">
        <f aca="false">IF(Data!$H257="japan",Data!$A257,"")</f>
        <v/>
      </c>
    </row>
    <row r="270" customFormat="false" ht="15" hidden="false" customHeight="true" outlineLevel="0" collapsed="false">
      <c r="F270" s="21" t="n">
        <f aca="false">IF(Data!$H258="usa",Data!$A258,"")</f>
        <v>25.1</v>
      </c>
      <c r="G270" s="1" t="str">
        <f aca="false">IF(Data!$H258="japan",Data!$A258,"")</f>
        <v/>
      </c>
    </row>
    <row r="271" customFormat="false" ht="15" hidden="false" customHeight="true" outlineLevel="0" collapsed="false">
      <c r="F271" s="21" t="n">
        <f aca="false">IF(Data!$H259="usa",Data!$A259,"")</f>
        <v>20.5</v>
      </c>
      <c r="G271" s="1" t="str">
        <f aca="false">IF(Data!$H259="japan",Data!$A259,"")</f>
        <v/>
      </c>
    </row>
    <row r="272" customFormat="false" ht="15" hidden="false" customHeight="true" outlineLevel="0" collapsed="false">
      <c r="F272" s="21" t="n">
        <f aca="false">IF(Data!$H260="usa",Data!$A260,"")</f>
        <v>19.4</v>
      </c>
      <c r="G272" s="1" t="str">
        <f aca="false">IF(Data!$H260="japan",Data!$A260,"")</f>
        <v/>
      </c>
    </row>
    <row r="273" customFormat="false" ht="15" hidden="false" customHeight="true" outlineLevel="0" collapsed="false">
      <c r="F273" s="21" t="n">
        <f aca="false">IF(Data!$H261="usa",Data!$A261,"")</f>
        <v>20.6</v>
      </c>
      <c r="G273" s="1" t="str">
        <f aca="false">IF(Data!$H261="japan",Data!$A261,"")</f>
        <v/>
      </c>
    </row>
    <row r="274" customFormat="false" ht="15" hidden="false" customHeight="true" outlineLevel="0" collapsed="false">
      <c r="F274" s="21" t="n">
        <f aca="false">IF(Data!$H262="usa",Data!$A262,"")</f>
        <v>20.8</v>
      </c>
      <c r="G274" s="1" t="str">
        <f aca="false">IF(Data!$H262="japan",Data!$A262,"")</f>
        <v/>
      </c>
    </row>
    <row r="275" customFormat="false" ht="15" hidden="false" customHeight="true" outlineLevel="0" collapsed="false">
      <c r="F275" s="21" t="n">
        <f aca="false">IF(Data!$H263="usa",Data!$A263,"")</f>
        <v>18.6</v>
      </c>
      <c r="G275" s="1" t="str">
        <f aca="false">IF(Data!$H263="japan",Data!$A263,"")</f>
        <v/>
      </c>
    </row>
    <row r="276" customFormat="false" ht="15" hidden="false" customHeight="true" outlineLevel="0" collapsed="false">
      <c r="F276" s="21" t="n">
        <f aca="false">IF(Data!$H264="usa",Data!$A264,"")</f>
        <v>18.1</v>
      </c>
      <c r="G276" s="1" t="str">
        <f aca="false">IF(Data!$H264="japan",Data!$A264,"")</f>
        <v/>
      </c>
    </row>
    <row r="277" customFormat="false" ht="15" hidden="false" customHeight="true" outlineLevel="0" collapsed="false">
      <c r="F277" s="21" t="n">
        <f aca="false">IF(Data!$H265="usa",Data!$A265,"")</f>
        <v>19.2</v>
      </c>
      <c r="G277" s="1" t="str">
        <f aca="false">IF(Data!$H265="japan",Data!$A265,"")</f>
        <v/>
      </c>
    </row>
    <row r="278" customFormat="false" ht="15" hidden="false" customHeight="true" outlineLevel="0" collapsed="false">
      <c r="F278" s="21" t="n">
        <f aca="false">IF(Data!$H266="usa",Data!$A266,"")</f>
        <v>17.7</v>
      </c>
      <c r="G278" s="1" t="str">
        <f aca="false">IF(Data!$H266="japan",Data!$A266,"")</f>
        <v/>
      </c>
    </row>
    <row r="279" customFormat="false" ht="15" hidden="false" customHeight="true" outlineLevel="0" collapsed="false">
      <c r="F279" s="21" t="n">
        <f aca="false">IF(Data!$H267="usa",Data!$A267,"")</f>
        <v>18.1</v>
      </c>
      <c r="G279" s="1" t="str">
        <f aca="false">IF(Data!$H267="japan",Data!$A267,"")</f>
        <v/>
      </c>
    </row>
    <row r="280" customFormat="false" ht="15" hidden="false" customHeight="true" outlineLevel="0" collapsed="false">
      <c r="F280" s="21" t="n">
        <f aca="false">IF(Data!$H268="usa",Data!$A268,"")</f>
        <v>17.5</v>
      </c>
      <c r="G280" s="1" t="str">
        <f aca="false">IF(Data!$H268="japan",Data!$A268,"")</f>
        <v/>
      </c>
    </row>
    <row r="281" customFormat="false" ht="15" hidden="false" customHeight="true" outlineLevel="0" collapsed="false">
      <c r="F281" s="21" t="n">
        <f aca="false">IF(Data!$H269="usa",Data!$A269,"")</f>
        <v>30</v>
      </c>
      <c r="G281" s="1" t="str">
        <f aca="false">IF(Data!$H269="japan",Data!$A269,"")</f>
        <v/>
      </c>
    </row>
    <row r="282" customFormat="false" ht="15" hidden="false" customHeight="true" outlineLevel="0" collapsed="false">
      <c r="F282" s="1" t="str">
        <f aca="false">IF(Data!$H270="usa",Data!$A270,"")</f>
        <v/>
      </c>
      <c r="G282" s="21" t="n">
        <f aca="false">IF(Data!$H270="japan",Data!$A270,"")</f>
        <v>27.5</v>
      </c>
    </row>
    <row r="283" customFormat="false" ht="15" hidden="false" customHeight="true" outlineLevel="0" collapsed="false">
      <c r="F283" s="1" t="str">
        <f aca="false">IF(Data!$H271="usa",Data!$A271,"")</f>
        <v/>
      </c>
      <c r="G283" s="21" t="n">
        <f aca="false">IF(Data!$H271="japan",Data!$A271,"")</f>
        <v>27.2</v>
      </c>
    </row>
    <row r="284" customFormat="false" ht="15" hidden="false" customHeight="true" outlineLevel="0" collapsed="false">
      <c r="F284" s="21" t="n">
        <f aca="false">IF(Data!$H272="usa",Data!$A272,"")</f>
        <v>30.9</v>
      </c>
      <c r="G284" s="1" t="str">
        <f aca="false">IF(Data!$H272="japan",Data!$A272,"")</f>
        <v/>
      </c>
    </row>
    <row r="285" customFormat="false" ht="15" hidden="false" customHeight="true" outlineLevel="0" collapsed="false">
      <c r="F285" s="1" t="str">
        <f aca="false">IF(Data!$H273="usa",Data!$A273,"")</f>
        <v/>
      </c>
      <c r="G285" s="21" t="n">
        <f aca="false">IF(Data!$H273="japan",Data!$A273,"")</f>
        <v>21.1</v>
      </c>
    </row>
    <row r="286" customFormat="false" ht="15" hidden="false" customHeight="true" outlineLevel="0" collapsed="false">
      <c r="F286" s="21" t="n">
        <f aca="false">IF(Data!$H274="usa",Data!$A274,"")</f>
        <v>23.2</v>
      </c>
      <c r="G286" s="1" t="str">
        <f aca="false">IF(Data!$H274="japan",Data!$A274,"")</f>
        <v/>
      </c>
    </row>
    <row r="287" customFormat="false" ht="15" hidden="false" customHeight="true" outlineLevel="0" collapsed="false">
      <c r="F287" s="21" t="n">
        <f aca="false">IF(Data!$H275="usa",Data!$A275,"")</f>
        <v>23.8</v>
      </c>
      <c r="G287" s="1" t="str">
        <f aca="false">IF(Data!$H275="japan",Data!$A275,"")</f>
        <v/>
      </c>
    </row>
    <row r="288" customFormat="false" ht="15" hidden="false" customHeight="true" outlineLevel="0" collapsed="false">
      <c r="F288" s="1" t="str">
        <f aca="false">IF(Data!$H276="usa",Data!$A276,"")</f>
        <v/>
      </c>
      <c r="G288" s="21" t="n">
        <f aca="false">IF(Data!$H276="japan",Data!$A276,"")</f>
        <v>23.9</v>
      </c>
    </row>
    <row r="289" customFormat="false" ht="15" hidden="false" customHeight="true" outlineLevel="0" collapsed="false">
      <c r="F289" s="1" t="str">
        <f aca="false">IF(Data!$H277="usa",Data!$A277,"")</f>
        <v/>
      </c>
      <c r="G289" s="1" t="str">
        <f aca="false">IF(Data!$H277="japan",Data!$A277,"")</f>
        <v/>
      </c>
    </row>
    <row r="290" customFormat="false" ht="15" hidden="false" customHeight="true" outlineLevel="0" collapsed="false">
      <c r="F290" s="1" t="str">
        <f aca="false">IF(Data!$H278="usa",Data!$A278,"")</f>
        <v/>
      </c>
      <c r="G290" s="1" t="str">
        <f aca="false">IF(Data!$H278="japan",Data!$A278,"")</f>
        <v/>
      </c>
    </row>
    <row r="291" customFormat="false" ht="15" hidden="false" customHeight="true" outlineLevel="0" collapsed="false">
      <c r="F291" s="1" t="str">
        <f aca="false">IF(Data!$H279="usa",Data!$A279,"")</f>
        <v/>
      </c>
      <c r="G291" s="1" t="str">
        <f aca="false">IF(Data!$H279="japan",Data!$A279,"")</f>
        <v/>
      </c>
    </row>
    <row r="292" customFormat="false" ht="15" hidden="false" customHeight="true" outlineLevel="0" collapsed="false">
      <c r="F292" s="1" t="str">
        <f aca="false">IF(Data!$H280="usa",Data!$A280,"")</f>
        <v/>
      </c>
      <c r="G292" s="1" t="str">
        <f aca="false">IF(Data!$H280="japan",Data!$A280,"")</f>
        <v/>
      </c>
    </row>
    <row r="293" customFormat="false" ht="15" hidden="false" customHeight="true" outlineLevel="0" collapsed="false">
      <c r="F293" s="1" t="str">
        <f aca="false">IF(Data!$H281="usa",Data!$A281,"")</f>
        <v/>
      </c>
      <c r="G293" s="1" t="str">
        <f aca="false">IF(Data!$H281="japan",Data!$A281,"")</f>
        <v/>
      </c>
    </row>
    <row r="294" customFormat="false" ht="15" hidden="false" customHeight="true" outlineLevel="0" collapsed="false">
      <c r="F294" s="1" t="str">
        <f aca="false">IF(Data!$H282="usa",Data!$A282,"")</f>
        <v/>
      </c>
      <c r="G294" s="21" t="n">
        <f aca="false">IF(Data!$H282="japan",Data!$A282,"")</f>
        <v>29.5</v>
      </c>
    </row>
    <row r="295" customFormat="false" ht="15" hidden="false" customHeight="true" outlineLevel="0" collapsed="false">
      <c r="F295" s="21" t="n">
        <f aca="false">IF(Data!$H283="usa",Data!$A283,"")</f>
        <v>21.5</v>
      </c>
      <c r="G295" s="1" t="str">
        <f aca="false">IF(Data!$H283="japan",Data!$A283,"")</f>
        <v/>
      </c>
    </row>
    <row r="296" customFormat="false" ht="15" hidden="false" customHeight="true" outlineLevel="0" collapsed="false">
      <c r="F296" s="21" t="n">
        <f aca="false">IF(Data!$H284="usa",Data!$A284,"")</f>
        <v>19.8</v>
      </c>
      <c r="G296" s="1" t="str">
        <f aca="false">IF(Data!$H284="japan",Data!$A284,"")</f>
        <v/>
      </c>
    </row>
    <row r="297" customFormat="false" ht="15" hidden="false" customHeight="true" outlineLevel="0" collapsed="false">
      <c r="F297" s="21" t="n">
        <f aca="false">IF(Data!$H285="usa",Data!$A285,"")</f>
        <v>22.3</v>
      </c>
      <c r="G297" s="1" t="str">
        <f aca="false">IF(Data!$H285="japan",Data!$A285,"")</f>
        <v/>
      </c>
    </row>
    <row r="298" customFormat="false" ht="15" hidden="false" customHeight="true" outlineLevel="0" collapsed="false">
      <c r="F298" s="21" t="n">
        <f aca="false">IF(Data!$H286="usa",Data!$A286,"")</f>
        <v>20.2</v>
      </c>
      <c r="G298" s="1" t="str">
        <f aca="false">IF(Data!$H286="japan",Data!$A286,"")</f>
        <v/>
      </c>
    </row>
    <row r="299" customFormat="false" ht="15" hidden="false" customHeight="true" outlineLevel="0" collapsed="false">
      <c r="F299" s="21" t="n">
        <f aca="false">IF(Data!$H287="usa",Data!$A287,"")</f>
        <v>20.6</v>
      </c>
      <c r="G299" s="1" t="str">
        <f aca="false">IF(Data!$H287="japan",Data!$A287,"")</f>
        <v/>
      </c>
    </row>
    <row r="300" customFormat="false" ht="15" hidden="false" customHeight="true" outlineLevel="0" collapsed="false">
      <c r="F300" s="21" t="n">
        <f aca="false">IF(Data!$H288="usa",Data!$A288,"")</f>
        <v>17</v>
      </c>
      <c r="G300" s="1" t="str">
        <f aca="false">IF(Data!$H288="japan",Data!$A288,"")</f>
        <v/>
      </c>
    </row>
    <row r="301" customFormat="false" ht="15" hidden="false" customHeight="true" outlineLevel="0" collapsed="false">
      <c r="F301" s="21" t="n">
        <f aca="false">IF(Data!$H289="usa",Data!$A289,"")</f>
        <v>17.6</v>
      </c>
      <c r="G301" s="1" t="str">
        <f aca="false">IF(Data!$H289="japan",Data!$A289,"")</f>
        <v/>
      </c>
    </row>
    <row r="302" customFormat="false" ht="15" hidden="false" customHeight="true" outlineLevel="0" collapsed="false">
      <c r="F302" s="21" t="n">
        <f aca="false">IF(Data!$H290="usa",Data!$A290,"")</f>
        <v>16.5</v>
      </c>
      <c r="G302" s="1" t="str">
        <f aca="false">IF(Data!$H290="japan",Data!$A290,"")</f>
        <v/>
      </c>
    </row>
    <row r="303" customFormat="false" ht="15" hidden="false" customHeight="true" outlineLevel="0" collapsed="false">
      <c r="F303" s="21" t="n">
        <f aca="false">IF(Data!$H291="usa",Data!$A291,"")</f>
        <v>18.2</v>
      </c>
      <c r="G303" s="1" t="str">
        <f aca="false">IF(Data!$H291="japan",Data!$A291,"")</f>
        <v/>
      </c>
    </row>
    <row r="304" customFormat="false" ht="15" hidden="false" customHeight="true" outlineLevel="0" collapsed="false">
      <c r="F304" s="21" t="n">
        <f aca="false">IF(Data!$H292="usa",Data!$A292,"")</f>
        <v>16.9</v>
      </c>
      <c r="G304" s="1" t="str">
        <f aca="false">IF(Data!$H292="japan",Data!$A292,"")</f>
        <v/>
      </c>
    </row>
    <row r="305" customFormat="false" ht="15" hidden="false" customHeight="true" outlineLevel="0" collapsed="false">
      <c r="F305" s="21" t="n">
        <f aca="false">IF(Data!$H293="usa",Data!$A293,"")</f>
        <v>15.5</v>
      </c>
      <c r="G305" s="1" t="str">
        <f aca="false">IF(Data!$H293="japan",Data!$A293,"")</f>
        <v/>
      </c>
    </row>
    <row r="306" customFormat="false" ht="15" hidden="false" customHeight="true" outlineLevel="0" collapsed="false">
      <c r="F306" s="21" t="n">
        <f aca="false">IF(Data!$H294="usa",Data!$A294,"")</f>
        <v>19.2</v>
      </c>
      <c r="G306" s="1" t="str">
        <f aca="false">IF(Data!$H294="japan",Data!$A294,"")</f>
        <v/>
      </c>
    </row>
    <row r="307" customFormat="false" ht="15" hidden="false" customHeight="true" outlineLevel="0" collapsed="false">
      <c r="F307" s="21" t="n">
        <f aca="false">IF(Data!$H295="usa",Data!$A295,"")</f>
        <v>18.5</v>
      </c>
      <c r="G307" s="1" t="str">
        <f aca="false">IF(Data!$H295="japan",Data!$A295,"")</f>
        <v/>
      </c>
    </row>
    <row r="308" customFormat="false" ht="15" hidden="false" customHeight="true" outlineLevel="0" collapsed="false">
      <c r="F308" s="1" t="str">
        <f aca="false">IF(Data!$H296="usa",Data!$A296,"")</f>
        <v/>
      </c>
      <c r="G308" s="1" t="str">
        <f aca="false">IF(Data!$H296="japan",Data!$A296,"")</f>
        <v/>
      </c>
    </row>
    <row r="309" customFormat="false" ht="15" hidden="false" customHeight="true" outlineLevel="0" collapsed="false">
      <c r="F309" s="1" t="str">
        <f aca="false">IF(Data!$H297="usa",Data!$A297,"")</f>
        <v/>
      </c>
      <c r="G309" s="21" t="n">
        <f aca="false">IF(Data!$H297="japan",Data!$A297,"")</f>
        <v>34.1</v>
      </c>
    </row>
    <row r="310" customFormat="false" ht="15" hidden="false" customHeight="true" outlineLevel="0" collapsed="false">
      <c r="F310" s="21" t="n">
        <f aca="false">IF(Data!$H298="usa",Data!$A298,"")</f>
        <v>35.7</v>
      </c>
      <c r="G310" s="1" t="str">
        <f aca="false">IF(Data!$H298="japan",Data!$A298,"")</f>
        <v/>
      </c>
    </row>
    <row r="311" customFormat="false" ht="15" hidden="false" customHeight="true" outlineLevel="0" collapsed="false">
      <c r="F311" s="21" t="n">
        <f aca="false">IF(Data!$H299="usa",Data!$A299,"")</f>
        <v>27.4</v>
      </c>
      <c r="G311" s="1" t="str">
        <f aca="false">IF(Data!$H299="japan",Data!$A299,"")</f>
        <v/>
      </c>
    </row>
    <row r="312" customFormat="false" ht="15" hidden="false" customHeight="true" outlineLevel="0" collapsed="false">
      <c r="F312" s="1" t="str">
        <f aca="false">IF(Data!$H300="usa",Data!$A300,"")</f>
        <v/>
      </c>
      <c r="G312" s="1" t="str">
        <f aca="false">IF(Data!$H300="japan",Data!$A300,"")</f>
        <v/>
      </c>
    </row>
    <row r="313" customFormat="false" ht="15" hidden="false" customHeight="true" outlineLevel="0" collapsed="false">
      <c r="F313" s="21" t="n">
        <f aca="false">IF(Data!$H301="usa",Data!$A301,"")</f>
        <v>23</v>
      </c>
      <c r="G313" s="1" t="str">
        <f aca="false">IF(Data!$H301="japan",Data!$A301,"")</f>
        <v/>
      </c>
    </row>
    <row r="314" customFormat="false" ht="15" hidden="false" customHeight="true" outlineLevel="0" collapsed="false">
      <c r="F314" s="1" t="str">
        <f aca="false">IF(Data!$H302="usa",Data!$A302,"")</f>
        <v/>
      </c>
      <c r="G314" s="1" t="str">
        <f aca="false">IF(Data!$H302="japan",Data!$A302,"")</f>
        <v/>
      </c>
    </row>
    <row r="315" customFormat="false" ht="15" hidden="false" customHeight="true" outlineLevel="0" collapsed="false">
      <c r="F315" s="21" t="n">
        <f aca="false">IF(Data!$H303="usa",Data!$A303,"")</f>
        <v>23.9</v>
      </c>
      <c r="G315" s="1" t="str">
        <f aca="false">IF(Data!$H303="japan",Data!$A303,"")</f>
        <v/>
      </c>
    </row>
    <row r="316" customFormat="false" ht="15" hidden="false" customHeight="true" outlineLevel="0" collapsed="false">
      <c r="F316" s="21" t="n">
        <f aca="false">IF(Data!$H304="usa",Data!$A304,"")</f>
        <v>34.2</v>
      </c>
      <c r="G316" s="1" t="str">
        <f aca="false">IF(Data!$H304="japan",Data!$A304,"")</f>
        <v/>
      </c>
    </row>
    <row r="317" customFormat="false" ht="15" hidden="false" customHeight="true" outlineLevel="0" collapsed="false">
      <c r="F317" s="21" t="n">
        <f aca="false">IF(Data!$H305="usa",Data!$A305,"")</f>
        <v>34.5</v>
      </c>
      <c r="G317" s="1" t="str">
        <f aca="false">IF(Data!$H305="japan",Data!$A305,"")</f>
        <v/>
      </c>
    </row>
    <row r="318" customFormat="false" ht="15" hidden="false" customHeight="true" outlineLevel="0" collapsed="false">
      <c r="F318" s="1" t="str">
        <f aca="false">IF(Data!$H306="usa",Data!$A306,"")</f>
        <v/>
      </c>
      <c r="G318" s="21" t="n">
        <f aca="false">IF(Data!$H306="japan",Data!$A306,"")</f>
        <v>31.8</v>
      </c>
    </row>
    <row r="319" customFormat="false" ht="15" hidden="false" customHeight="true" outlineLevel="0" collapsed="false">
      <c r="F319" s="1" t="str">
        <f aca="false">IF(Data!$H307="usa",Data!$A307,"")</f>
        <v/>
      </c>
      <c r="G319" s="1" t="str">
        <f aca="false">IF(Data!$H307="japan",Data!$A307,"")</f>
        <v/>
      </c>
    </row>
    <row r="320" customFormat="false" ht="15" hidden="false" customHeight="true" outlineLevel="0" collapsed="false">
      <c r="F320" s="21" t="n">
        <f aca="false">IF(Data!$H308="usa",Data!$A308,"")</f>
        <v>28.4</v>
      </c>
      <c r="G320" s="1" t="str">
        <f aca="false">IF(Data!$H308="japan",Data!$A308,"")</f>
        <v/>
      </c>
    </row>
    <row r="321" customFormat="false" ht="15" hidden="false" customHeight="true" outlineLevel="0" collapsed="false">
      <c r="F321" s="21" t="n">
        <f aca="false">IF(Data!$H309="usa",Data!$A309,"")</f>
        <v>28.8</v>
      </c>
      <c r="G321" s="1" t="str">
        <f aca="false">IF(Data!$H309="japan",Data!$A309,"")</f>
        <v/>
      </c>
    </row>
    <row r="322" customFormat="false" ht="15" hidden="false" customHeight="true" outlineLevel="0" collapsed="false">
      <c r="F322" s="21" t="n">
        <f aca="false">IF(Data!$H310="usa",Data!$A310,"")</f>
        <v>26.8</v>
      </c>
      <c r="G322" s="1" t="str">
        <f aca="false">IF(Data!$H310="japan",Data!$A310,"")</f>
        <v/>
      </c>
    </row>
    <row r="323" customFormat="false" ht="15" hidden="false" customHeight="true" outlineLevel="0" collapsed="false">
      <c r="F323" s="21" t="n">
        <f aca="false">IF(Data!$H311="usa",Data!$A311,"")</f>
        <v>33.5</v>
      </c>
      <c r="G323" s="1" t="str">
        <f aca="false">IF(Data!$H311="japan",Data!$A311,"")</f>
        <v/>
      </c>
    </row>
    <row r="324" customFormat="false" ht="15" hidden="false" customHeight="true" outlineLevel="0" collapsed="false">
      <c r="F324" s="1" t="str">
        <f aca="false">IF(Data!$H312="usa",Data!$A312,"")</f>
        <v/>
      </c>
      <c r="G324" s="1" t="str">
        <f aca="false">IF(Data!$H312="japan",Data!$A312,"")</f>
        <v/>
      </c>
    </row>
    <row r="325" customFormat="false" ht="15" hidden="false" customHeight="true" outlineLevel="0" collapsed="false">
      <c r="F325" s="1" t="str">
        <f aca="false">IF(Data!$H313="usa",Data!$A313,"")</f>
        <v/>
      </c>
      <c r="G325" s="21" t="n">
        <f aca="false">IF(Data!$H313="japan",Data!$A313,"")</f>
        <v>38.1</v>
      </c>
    </row>
    <row r="326" customFormat="false" ht="15" hidden="false" customHeight="true" outlineLevel="0" collapsed="false">
      <c r="F326" s="21" t="n">
        <f aca="false">IF(Data!$H314="usa",Data!$A314,"")</f>
        <v>32.1</v>
      </c>
      <c r="G326" s="1" t="str">
        <f aca="false">IF(Data!$H314="japan",Data!$A314,"")</f>
        <v/>
      </c>
    </row>
    <row r="327" customFormat="false" ht="15" hidden="false" customHeight="true" outlineLevel="0" collapsed="false">
      <c r="F327" s="1" t="str">
        <f aca="false">IF(Data!$H315="usa",Data!$A315,"")</f>
        <v/>
      </c>
      <c r="G327" s="21" t="n">
        <f aca="false">IF(Data!$H315="japan",Data!$A315,"")</f>
        <v>37.2</v>
      </c>
    </row>
    <row r="328" customFormat="false" ht="15" hidden="false" customHeight="true" outlineLevel="0" collapsed="false">
      <c r="F328" s="21" t="n">
        <f aca="false">IF(Data!$H316="usa",Data!$A316,"")</f>
        <v>28</v>
      </c>
      <c r="G328" s="1" t="str">
        <f aca="false">IF(Data!$H316="japan",Data!$A316,"")</f>
        <v/>
      </c>
    </row>
    <row r="329" customFormat="false" ht="15" hidden="false" customHeight="true" outlineLevel="0" collapsed="false">
      <c r="F329" s="21" t="n">
        <f aca="false">IF(Data!$H317="usa",Data!$A317,"")</f>
        <v>26.4</v>
      </c>
      <c r="G329" s="1" t="str">
        <f aca="false">IF(Data!$H317="japan",Data!$A317,"")</f>
        <v/>
      </c>
    </row>
    <row r="330" customFormat="false" ht="15" hidden="false" customHeight="true" outlineLevel="0" collapsed="false">
      <c r="F330" s="21" t="n">
        <f aca="false">IF(Data!$H318="usa",Data!$A318,"")</f>
        <v>24.3</v>
      </c>
      <c r="G330" s="1" t="str">
        <f aca="false">IF(Data!$H318="japan",Data!$A318,"")</f>
        <v/>
      </c>
    </row>
    <row r="331" customFormat="false" ht="15" hidden="false" customHeight="true" outlineLevel="0" collapsed="false">
      <c r="F331" s="21" t="n">
        <f aca="false">IF(Data!$H319="usa",Data!$A319,"")</f>
        <v>19.1</v>
      </c>
      <c r="G331" s="1" t="str">
        <f aca="false">IF(Data!$H319="japan",Data!$A319,"")</f>
        <v/>
      </c>
    </row>
    <row r="332" customFormat="false" ht="15" hidden="false" customHeight="true" outlineLevel="0" collapsed="false">
      <c r="F332" s="1" t="str">
        <f aca="false">IF(Data!$H320="usa",Data!$A320,"")</f>
        <v/>
      </c>
      <c r="G332" s="1" t="str">
        <f aca="false">IF(Data!$H320="japan",Data!$A320,"")</f>
        <v/>
      </c>
    </row>
    <row r="333" customFormat="false" ht="15" hidden="false" customHeight="true" outlineLevel="0" collapsed="false">
      <c r="F333" s="1" t="str">
        <f aca="false">IF(Data!$H321="usa",Data!$A321,"")</f>
        <v/>
      </c>
      <c r="G333" s="21" t="n">
        <f aca="false">IF(Data!$H321="japan",Data!$A321,"")</f>
        <v>29.8</v>
      </c>
    </row>
    <row r="334" customFormat="false" ht="15" hidden="false" customHeight="true" outlineLevel="0" collapsed="false">
      <c r="F334" s="1" t="str">
        <f aca="false">IF(Data!$H322="usa",Data!$A322,"")</f>
        <v/>
      </c>
      <c r="G334" s="21" t="n">
        <f aca="false">IF(Data!$H322="japan",Data!$A322,"")</f>
        <v>31.3</v>
      </c>
    </row>
    <row r="335" customFormat="false" ht="15" hidden="false" customHeight="true" outlineLevel="0" collapsed="false">
      <c r="F335" s="1" t="str">
        <f aca="false">IF(Data!$H323="usa",Data!$A323,"")</f>
        <v/>
      </c>
      <c r="G335" s="21" t="n">
        <f aca="false">IF(Data!$H323="japan",Data!$A323,"")</f>
        <v>37</v>
      </c>
    </row>
    <row r="336" customFormat="false" ht="15" hidden="false" customHeight="true" outlineLevel="0" collapsed="false">
      <c r="F336" s="1" t="str">
        <f aca="false">IF(Data!$H324="usa",Data!$A324,"")</f>
        <v/>
      </c>
      <c r="G336" s="21" t="n">
        <f aca="false">IF(Data!$H324="japan",Data!$A324,"")</f>
        <v>32.2</v>
      </c>
    </row>
    <row r="337" customFormat="false" ht="15" hidden="false" customHeight="true" outlineLevel="0" collapsed="false">
      <c r="F337" s="1" t="str">
        <f aca="false">IF(Data!$H325="usa",Data!$A325,"")</f>
        <v/>
      </c>
      <c r="G337" s="21" t="n">
        <f aca="false">IF(Data!$H325="japan",Data!$A325,"")</f>
        <v>46.6</v>
      </c>
    </row>
    <row r="338" customFormat="false" ht="15" hidden="false" customHeight="true" outlineLevel="0" collapsed="false">
      <c r="F338" s="21" t="n">
        <f aca="false">IF(Data!$H326="usa",Data!$A326,"")</f>
        <v>27.9</v>
      </c>
      <c r="G338" s="1" t="str">
        <f aca="false">IF(Data!$H326="japan",Data!$A326,"")</f>
        <v/>
      </c>
    </row>
    <row r="339" customFormat="false" ht="15" hidden="false" customHeight="true" outlineLevel="0" collapsed="false">
      <c r="F339" s="1" t="str">
        <f aca="false">IF(Data!$H327="usa",Data!$A327,"")</f>
        <v/>
      </c>
      <c r="G339" s="21" t="n">
        <f aca="false">IF(Data!$H327="japan",Data!$A327,"")</f>
        <v>40.8</v>
      </c>
    </row>
    <row r="340" customFormat="false" ht="15" hidden="false" customHeight="true" outlineLevel="0" collapsed="false">
      <c r="F340" s="1" t="str">
        <f aca="false">IF(Data!$H328="usa",Data!$A328,"")</f>
        <v/>
      </c>
      <c r="G340" s="1" t="str">
        <f aca="false">IF(Data!$H328="japan",Data!$A328,"")</f>
        <v/>
      </c>
    </row>
    <row r="341" customFormat="false" ht="15" hidden="false" customHeight="true" outlineLevel="0" collapsed="false">
      <c r="F341" s="1" t="str">
        <f aca="false">IF(Data!$H329="usa",Data!$A329,"")</f>
        <v/>
      </c>
      <c r="G341" s="1" t="str">
        <f aca="false">IF(Data!$H329="japan",Data!$A329,"")</f>
        <v/>
      </c>
    </row>
    <row r="342" customFormat="false" ht="15" hidden="false" customHeight="true" outlineLevel="0" collapsed="false">
      <c r="F342" s="1" t="str">
        <f aca="false">IF(Data!$H330="usa",Data!$A330,"")</f>
        <v/>
      </c>
      <c r="G342" s="1" t="str">
        <f aca="false">IF(Data!$H330="japan",Data!$A330,"")</f>
        <v/>
      </c>
    </row>
    <row r="343" customFormat="false" ht="15" hidden="false" customHeight="true" outlineLevel="0" collapsed="false">
      <c r="F343" s="1" t="str">
        <f aca="false">IF(Data!$H331="usa",Data!$A331,"")</f>
        <v/>
      </c>
      <c r="G343" s="1" t="str">
        <f aca="false">IF(Data!$H331="japan",Data!$A331,"")</f>
        <v/>
      </c>
    </row>
    <row r="344" customFormat="false" ht="15" hidden="false" customHeight="true" outlineLevel="0" collapsed="false">
      <c r="F344" s="1" t="str">
        <f aca="false">IF(Data!$H332="usa",Data!$A332,"")</f>
        <v/>
      </c>
      <c r="G344" s="21" t="n">
        <f aca="false">IF(Data!$H332="japan",Data!$A332,"")</f>
        <v>44.6</v>
      </c>
    </row>
    <row r="345" customFormat="false" ht="15" hidden="false" customHeight="true" outlineLevel="0" collapsed="false">
      <c r="F345" s="1" t="str">
        <f aca="false">IF(Data!$H333="usa",Data!$A333,"")</f>
        <v/>
      </c>
      <c r="G345" s="1" t="str">
        <f aca="false">IF(Data!$H333="japan",Data!$A333,"")</f>
        <v/>
      </c>
    </row>
    <row r="346" customFormat="false" ht="15" hidden="false" customHeight="true" outlineLevel="0" collapsed="false">
      <c r="F346" s="1" t="str">
        <f aca="false">IF(Data!$H334="usa",Data!$A334,"")</f>
        <v/>
      </c>
      <c r="G346" s="21" t="n">
        <f aca="false">IF(Data!$H334="japan",Data!$A334,"")</f>
        <v>33.8</v>
      </c>
    </row>
    <row r="347" customFormat="false" ht="15" hidden="false" customHeight="true" outlineLevel="0" collapsed="false">
      <c r="F347" s="1" t="str">
        <f aca="false">IF(Data!$H335="usa",Data!$A335,"")</f>
        <v/>
      </c>
      <c r="G347" s="1" t="str">
        <f aca="false">IF(Data!$H335="japan",Data!$A335,"")</f>
        <v/>
      </c>
    </row>
    <row r="348" customFormat="false" ht="15" hidden="false" customHeight="true" outlineLevel="0" collapsed="false">
      <c r="F348" s="1" t="str">
        <f aca="false">IF(Data!$H336="usa",Data!$A336,"")</f>
        <v/>
      </c>
      <c r="G348" s="21" t="n">
        <f aca="false">IF(Data!$H336="japan",Data!$A336,"")</f>
        <v>32.7</v>
      </c>
    </row>
    <row r="349" customFormat="false" ht="15" hidden="false" customHeight="true" outlineLevel="0" collapsed="false">
      <c r="F349" s="1" t="str">
        <f aca="false">IF(Data!$H337="usa",Data!$A337,"")</f>
        <v/>
      </c>
      <c r="G349" s="21" t="n">
        <f aca="false">IF(Data!$H337="japan",Data!$A337,"")</f>
        <v>23.7</v>
      </c>
    </row>
    <row r="350" customFormat="false" ht="15" hidden="false" customHeight="true" outlineLevel="0" collapsed="false">
      <c r="F350" s="1" t="str">
        <f aca="false">IF(Data!$H338="usa",Data!$A338,"")</f>
        <v/>
      </c>
      <c r="G350" s="1" t="str">
        <f aca="false">IF(Data!$H338="japan",Data!$A338,"")</f>
        <v/>
      </c>
    </row>
    <row r="351" customFormat="false" ht="15" hidden="false" customHeight="true" outlineLevel="0" collapsed="false">
      <c r="F351" s="21" t="n">
        <f aca="false">IF(Data!$H339="usa",Data!$A339,"")</f>
        <v>23.6</v>
      </c>
      <c r="G351" s="1" t="str">
        <f aca="false">IF(Data!$H339="japan",Data!$A339,"")</f>
        <v/>
      </c>
    </row>
    <row r="352" customFormat="false" ht="15" hidden="false" customHeight="true" outlineLevel="0" collapsed="false">
      <c r="F352" s="1" t="str">
        <f aca="false">IF(Data!$H340="usa",Data!$A340,"")</f>
        <v/>
      </c>
      <c r="G352" s="21" t="n">
        <f aca="false">IF(Data!$H340="japan",Data!$A340,"")</f>
        <v>32.4</v>
      </c>
    </row>
    <row r="353" customFormat="false" ht="15" hidden="false" customHeight="true" outlineLevel="0" collapsed="false">
      <c r="F353" s="21" t="n">
        <f aca="false">IF(Data!$H341="usa",Data!$A341,"")</f>
        <v>27.2</v>
      </c>
      <c r="G353" s="1" t="str">
        <f aca="false">IF(Data!$H341="japan",Data!$A341,"")</f>
        <v/>
      </c>
    </row>
    <row r="354" customFormat="false" ht="15" hidden="false" customHeight="true" outlineLevel="0" collapsed="false">
      <c r="F354" s="21" t="n">
        <f aca="false">IF(Data!$H342="usa",Data!$A342,"")</f>
        <v>26.6</v>
      </c>
      <c r="G354" s="1" t="str">
        <f aca="false">IF(Data!$H342="japan",Data!$A342,"")</f>
        <v/>
      </c>
    </row>
    <row r="355" customFormat="false" ht="15" hidden="false" customHeight="true" outlineLevel="0" collapsed="false">
      <c r="F355" s="21" t="n">
        <f aca="false">IF(Data!$H343="usa",Data!$A343,"")</f>
        <v>25.8</v>
      </c>
      <c r="G355" s="1" t="str">
        <f aca="false">IF(Data!$H343="japan",Data!$A343,"")</f>
        <v/>
      </c>
    </row>
    <row r="356" customFormat="false" ht="15" hidden="false" customHeight="true" outlineLevel="0" collapsed="false">
      <c r="F356" s="21" t="n">
        <f aca="false">IF(Data!$H344="usa",Data!$A344,"")</f>
        <v>23.5</v>
      </c>
      <c r="G356" s="1" t="str">
        <f aca="false">IF(Data!$H344="japan",Data!$A344,"")</f>
        <v/>
      </c>
    </row>
    <row r="357" customFormat="false" ht="15" hidden="false" customHeight="true" outlineLevel="0" collapsed="false">
      <c r="F357" s="21" t="n">
        <f aca="false">IF(Data!$H345="usa",Data!$A345,"")</f>
        <v>30</v>
      </c>
      <c r="G357" s="1" t="str">
        <f aca="false">IF(Data!$H345="japan",Data!$A345,"")</f>
        <v/>
      </c>
    </row>
    <row r="358" customFormat="false" ht="15" hidden="false" customHeight="true" outlineLevel="0" collapsed="false">
      <c r="F358" s="1" t="str">
        <f aca="false">IF(Data!$H346="usa",Data!$A346,"")</f>
        <v/>
      </c>
      <c r="G358" s="21" t="n">
        <f aca="false">IF(Data!$H346="japan",Data!$A346,"")</f>
        <v>39.1</v>
      </c>
    </row>
    <row r="359" customFormat="false" ht="15" hidden="false" customHeight="true" outlineLevel="0" collapsed="false">
      <c r="F359" s="21" t="n">
        <f aca="false">IF(Data!$H347="usa",Data!$A347,"")</f>
        <v>39</v>
      </c>
      <c r="G359" s="1" t="str">
        <f aca="false">IF(Data!$H347="japan",Data!$A347,"")</f>
        <v/>
      </c>
    </row>
    <row r="360" customFormat="false" ht="15" hidden="false" customHeight="true" outlineLevel="0" collapsed="false">
      <c r="F360" s="1" t="str">
        <f aca="false">IF(Data!$H348="usa",Data!$A348,"")</f>
        <v/>
      </c>
      <c r="G360" s="21" t="n">
        <f aca="false">IF(Data!$H348="japan",Data!$A348,"")</f>
        <v>35.1</v>
      </c>
    </row>
    <row r="361" customFormat="false" ht="15" hidden="false" customHeight="true" outlineLevel="0" collapsed="false">
      <c r="F361" s="1" t="str">
        <f aca="false">IF(Data!$H349="usa",Data!$A349,"")</f>
        <v/>
      </c>
      <c r="G361" s="21" t="n">
        <f aca="false">IF(Data!$H349="japan",Data!$A349,"")</f>
        <v>32.3</v>
      </c>
    </row>
    <row r="362" customFormat="false" ht="15" hidden="false" customHeight="true" outlineLevel="0" collapsed="false">
      <c r="F362" s="1" t="str">
        <f aca="false">IF(Data!$H350="usa",Data!$A350,"")</f>
        <v/>
      </c>
      <c r="G362" s="21" t="n">
        <f aca="false">IF(Data!$H350="japan",Data!$A350,"")</f>
        <v>37</v>
      </c>
    </row>
    <row r="363" customFormat="false" ht="15" hidden="false" customHeight="true" outlineLevel="0" collapsed="false">
      <c r="F363" s="1" t="str">
        <f aca="false">IF(Data!$H351="usa",Data!$A351,"")</f>
        <v/>
      </c>
      <c r="G363" s="21" t="n">
        <f aca="false">IF(Data!$H351="japan",Data!$A351,"")</f>
        <v>37.7</v>
      </c>
    </row>
    <row r="364" customFormat="false" ht="15" hidden="false" customHeight="true" outlineLevel="0" collapsed="false">
      <c r="F364" s="1" t="str">
        <f aca="false">IF(Data!$H352="usa",Data!$A352,"")</f>
        <v/>
      </c>
      <c r="G364" s="21" t="n">
        <f aca="false">IF(Data!$H352="japan",Data!$A352,"")</f>
        <v>34.1</v>
      </c>
    </row>
    <row r="365" customFormat="false" ht="15" hidden="false" customHeight="true" outlineLevel="0" collapsed="false">
      <c r="F365" s="21" t="n">
        <f aca="false">IF(Data!$H353="usa",Data!$A353,"")</f>
        <v>34.7</v>
      </c>
      <c r="G365" s="1" t="str">
        <f aca="false">IF(Data!$H353="japan",Data!$A353,"")</f>
        <v/>
      </c>
    </row>
    <row r="366" customFormat="false" ht="15" hidden="false" customHeight="true" outlineLevel="0" collapsed="false">
      <c r="F366" s="21" t="n">
        <f aca="false">IF(Data!$H354="usa",Data!$A354,"")</f>
        <v>34.4</v>
      </c>
      <c r="G366" s="1" t="str">
        <f aca="false">IF(Data!$H354="japan",Data!$A354,"")</f>
        <v/>
      </c>
    </row>
    <row r="367" customFormat="false" ht="15" hidden="false" customHeight="true" outlineLevel="0" collapsed="false">
      <c r="F367" s="21" t="n">
        <f aca="false">IF(Data!$H355="usa",Data!$A355,"")</f>
        <v>29.9</v>
      </c>
      <c r="G367" s="1" t="str">
        <f aca="false">IF(Data!$H355="japan",Data!$A355,"")</f>
        <v/>
      </c>
    </row>
    <row r="368" customFormat="false" ht="15" hidden="false" customHeight="true" outlineLevel="0" collapsed="false">
      <c r="F368" s="1" t="str">
        <f aca="false">IF(Data!$H356="usa",Data!$A356,"")</f>
        <v/>
      </c>
      <c r="G368" s="1" t="str">
        <f aca="false">IF(Data!$H356="japan",Data!$A356,"")</f>
        <v/>
      </c>
    </row>
    <row r="369" customFormat="false" ht="15" hidden="false" customHeight="true" outlineLevel="0" collapsed="false">
      <c r="F369" s="1" t="str">
        <f aca="false">IF(Data!$H357="usa",Data!$A357,"")</f>
        <v/>
      </c>
      <c r="G369" s="1" t="str">
        <f aca="false">IF(Data!$H357="japan",Data!$A357,"")</f>
        <v/>
      </c>
    </row>
    <row r="370" customFormat="false" ht="15" hidden="false" customHeight="true" outlineLevel="0" collapsed="false">
      <c r="F370" s="1" t="str">
        <f aca="false">IF(Data!$H358="usa",Data!$A358,"")</f>
        <v/>
      </c>
      <c r="G370" s="21" t="n">
        <f aca="false">IF(Data!$H358="japan",Data!$A358,"")</f>
        <v>33.7</v>
      </c>
    </row>
    <row r="371" customFormat="false" ht="15" hidden="false" customHeight="true" outlineLevel="0" collapsed="false">
      <c r="F371" s="1" t="str">
        <f aca="false">IF(Data!$H359="usa",Data!$A359,"")</f>
        <v/>
      </c>
      <c r="G371" s="21" t="n">
        <f aca="false">IF(Data!$H359="japan",Data!$A359,"")</f>
        <v>32.4</v>
      </c>
    </row>
    <row r="372" customFormat="false" ht="15" hidden="false" customHeight="true" outlineLevel="0" collapsed="false">
      <c r="F372" s="1" t="str">
        <f aca="false">IF(Data!$H360="usa",Data!$A360,"")</f>
        <v/>
      </c>
      <c r="G372" s="21" t="n">
        <f aca="false">IF(Data!$H360="japan",Data!$A360,"")</f>
        <v>32.9</v>
      </c>
    </row>
    <row r="373" customFormat="false" ht="15" hidden="false" customHeight="true" outlineLevel="0" collapsed="false">
      <c r="F373" s="1" t="str">
        <f aca="false">IF(Data!$H361="usa",Data!$A361,"")</f>
        <v/>
      </c>
      <c r="G373" s="21" t="n">
        <f aca="false">IF(Data!$H361="japan",Data!$A361,"")</f>
        <v>31.6</v>
      </c>
    </row>
    <row r="374" customFormat="false" ht="15" hidden="false" customHeight="true" outlineLevel="0" collapsed="false">
      <c r="F374" s="1" t="str">
        <f aca="false">IF(Data!$H362="usa",Data!$A362,"")</f>
        <v/>
      </c>
      <c r="G374" s="1" t="str">
        <f aca="false">IF(Data!$H362="japan",Data!$A362,"")</f>
        <v/>
      </c>
    </row>
    <row r="375" customFormat="false" ht="15" hidden="false" customHeight="true" outlineLevel="0" collapsed="false">
      <c r="F375" s="1" t="str">
        <f aca="false">IF(Data!$H363="usa",Data!$A363,"")</f>
        <v/>
      </c>
      <c r="G375" s="1" t="str">
        <f aca="false">IF(Data!$H363="japan",Data!$A363,"")</f>
        <v/>
      </c>
    </row>
    <row r="376" customFormat="false" ht="15" hidden="false" customHeight="true" outlineLevel="0" collapsed="false">
      <c r="F376" s="1" t="str">
        <f aca="false">IF(Data!$H364="usa",Data!$A364,"")</f>
        <v/>
      </c>
      <c r="G376" s="21" t="n">
        <f aca="false">IF(Data!$H364="japan",Data!$A364,"")</f>
        <v>25.4</v>
      </c>
    </row>
    <row r="377" customFormat="false" ht="15" hidden="false" customHeight="true" outlineLevel="0" collapsed="false">
      <c r="F377" s="1" t="str">
        <f aca="false">IF(Data!$H365="usa",Data!$A365,"")</f>
        <v/>
      </c>
      <c r="G377" s="21" t="n">
        <f aca="false">IF(Data!$H365="japan",Data!$A365,"")</f>
        <v>24.2</v>
      </c>
    </row>
    <row r="378" customFormat="false" ht="15" hidden="false" customHeight="true" outlineLevel="0" collapsed="false">
      <c r="F378" s="21" t="n">
        <f aca="false">IF(Data!$H366="usa",Data!$A366,"")</f>
        <v>22.4</v>
      </c>
      <c r="G378" s="1" t="str">
        <f aca="false">IF(Data!$H366="japan",Data!$A366,"")</f>
        <v/>
      </c>
    </row>
    <row r="379" customFormat="false" ht="15" hidden="false" customHeight="true" outlineLevel="0" collapsed="false">
      <c r="F379" s="21" t="n">
        <f aca="false">IF(Data!$H367="usa",Data!$A367,"")</f>
        <v>26.6</v>
      </c>
      <c r="G379" s="1" t="str">
        <f aca="false">IF(Data!$H367="japan",Data!$A367,"")</f>
        <v/>
      </c>
    </row>
    <row r="380" customFormat="false" ht="15" hidden="false" customHeight="true" outlineLevel="0" collapsed="false">
      <c r="F380" s="21" t="n">
        <f aca="false">IF(Data!$H368="usa",Data!$A368,"")</f>
        <v>20.2</v>
      </c>
      <c r="G380" s="1" t="str">
        <f aca="false">IF(Data!$H368="japan",Data!$A368,"")</f>
        <v/>
      </c>
    </row>
    <row r="381" customFormat="false" ht="15" hidden="false" customHeight="true" outlineLevel="0" collapsed="false">
      <c r="F381" s="21" t="n">
        <f aca="false">IF(Data!$H369="usa",Data!$A369,"")</f>
        <v>17.6</v>
      </c>
      <c r="G381" s="1" t="str">
        <f aca="false">IF(Data!$H369="japan",Data!$A369,"")</f>
        <v/>
      </c>
    </row>
    <row r="382" customFormat="false" ht="15" hidden="false" customHeight="true" outlineLevel="0" collapsed="false">
      <c r="F382" s="21" t="n">
        <f aca="false">IF(Data!$H370="usa",Data!$A370,"")</f>
        <v>28</v>
      </c>
      <c r="G382" s="1" t="str">
        <f aca="false">IF(Data!$H370="japan",Data!$A370,"")</f>
        <v/>
      </c>
    </row>
    <row r="383" customFormat="false" ht="15" hidden="false" customHeight="true" outlineLevel="0" collapsed="false">
      <c r="F383" s="21" t="n">
        <f aca="false">IF(Data!$H371="usa",Data!$A371,"")</f>
        <v>27</v>
      </c>
      <c r="G383" s="1" t="str">
        <f aca="false">IF(Data!$H371="japan",Data!$A371,"")</f>
        <v/>
      </c>
    </row>
    <row r="384" customFormat="false" ht="15" hidden="false" customHeight="true" outlineLevel="0" collapsed="false">
      <c r="F384" s="21" t="n">
        <f aca="false">IF(Data!$H372="usa",Data!$A372,"")</f>
        <v>34</v>
      </c>
      <c r="G384" s="1" t="str">
        <f aca="false">IF(Data!$H372="japan",Data!$A372,"")</f>
        <v/>
      </c>
    </row>
    <row r="385" customFormat="false" ht="15" hidden="false" customHeight="true" outlineLevel="0" collapsed="false">
      <c r="F385" s="21" t="n">
        <f aca="false">IF(Data!$H373="usa",Data!$A373,"")</f>
        <v>31</v>
      </c>
      <c r="G385" s="1" t="str">
        <f aca="false">IF(Data!$H373="japan",Data!$A373,"")</f>
        <v/>
      </c>
    </row>
    <row r="386" customFormat="false" ht="15" hidden="false" customHeight="true" outlineLevel="0" collapsed="false">
      <c r="F386" s="21" t="n">
        <f aca="false">IF(Data!$H374="usa",Data!$A374,"")</f>
        <v>29</v>
      </c>
      <c r="G386" s="1" t="str">
        <f aca="false">IF(Data!$H374="japan",Data!$A374,"")</f>
        <v/>
      </c>
    </row>
    <row r="387" customFormat="false" ht="15" hidden="false" customHeight="true" outlineLevel="0" collapsed="false">
      <c r="F387" s="21" t="n">
        <f aca="false">IF(Data!$H375="usa",Data!$A375,"")</f>
        <v>27</v>
      </c>
      <c r="G387" s="1" t="str">
        <f aca="false">IF(Data!$H375="japan",Data!$A375,"")</f>
        <v/>
      </c>
    </row>
    <row r="388" customFormat="false" ht="15" hidden="false" customHeight="true" outlineLevel="0" collapsed="false">
      <c r="F388" s="21" t="n">
        <f aca="false">IF(Data!$H376="usa",Data!$A376,"")</f>
        <v>24</v>
      </c>
      <c r="G388" s="1" t="str">
        <f aca="false">IF(Data!$H376="japan",Data!$A376,"")</f>
        <v/>
      </c>
    </row>
    <row r="389" customFormat="false" ht="15" hidden="false" customHeight="true" outlineLevel="0" collapsed="false">
      <c r="F389" s="21" t="n">
        <f aca="false">IF(Data!$H377="usa",Data!$A377,"")</f>
        <v>23</v>
      </c>
      <c r="G389" s="1" t="str">
        <f aca="false">IF(Data!$H377="japan",Data!$A377,"")</f>
        <v/>
      </c>
    </row>
    <row r="390" customFormat="false" ht="15" hidden="false" customHeight="true" outlineLevel="0" collapsed="false">
      <c r="F390" s="1" t="str">
        <f aca="false">IF(Data!$H378="usa",Data!$A378,"")</f>
        <v/>
      </c>
      <c r="G390" s="1" t="str">
        <f aca="false">IF(Data!$H378="japan",Data!$A378,"")</f>
        <v/>
      </c>
    </row>
    <row r="391" customFormat="false" ht="15" hidden="false" customHeight="true" outlineLevel="0" collapsed="false">
      <c r="F391" s="1" t="str">
        <f aca="false">IF(Data!$H379="usa",Data!$A379,"")</f>
        <v/>
      </c>
      <c r="G391" s="21" t="n">
        <f aca="false">IF(Data!$H379="japan",Data!$A379,"")</f>
        <v>37</v>
      </c>
    </row>
    <row r="392" customFormat="false" ht="15" hidden="false" customHeight="true" outlineLevel="0" collapsed="false">
      <c r="F392" s="1" t="str">
        <f aca="false">IF(Data!$H380="usa",Data!$A380,"")</f>
        <v/>
      </c>
      <c r="G392" s="21" t="n">
        <f aca="false">IF(Data!$H380="japan",Data!$A380,"")</f>
        <v>31</v>
      </c>
    </row>
    <row r="393" customFormat="false" ht="15" hidden="false" customHeight="true" outlineLevel="0" collapsed="false">
      <c r="F393" s="21" t="n">
        <f aca="false">IF(Data!$H381="usa",Data!$A381,"")</f>
        <v>38</v>
      </c>
      <c r="G393" s="1" t="str">
        <f aca="false">IF(Data!$H381="japan",Data!$A381,"")</f>
        <v/>
      </c>
    </row>
    <row r="394" customFormat="false" ht="15" hidden="false" customHeight="true" outlineLevel="0" collapsed="false">
      <c r="F394" s="21" t="n">
        <f aca="false">IF(Data!$H382="usa",Data!$A382,"")</f>
        <v>36</v>
      </c>
      <c r="G394" s="1" t="str">
        <f aca="false">IF(Data!$H382="japan",Data!$A382,"")</f>
        <v/>
      </c>
    </row>
    <row r="395" customFormat="false" ht="15" hidden="false" customHeight="true" outlineLevel="0" collapsed="false">
      <c r="F395" s="1" t="str">
        <f aca="false">IF(Data!$H383="usa",Data!$A383,"")</f>
        <v/>
      </c>
      <c r="G395" s="21" t="n">
        <f aca="false">IF(Data!$H383="japan",Data!$A383,"")</f>
        <v>36</v>
      </c>
    </row>
    <row r="396" customFormat="false" ht="15" hidden="false" customHeight="true" outlineLevel="0" collapsed="false">
      <c r="F396" s="1" t="str">
        <f aca="false">IF(Data!$H384="usa",Data!$A384,"")</f>
        <v/>
      </c>
      <c r="G396" s="21" t="n">
        <f aca="false">IF(Data!$H384="japan",Data!$A384,"")</f>
        <v>36</v>
      </c>
    </row>
    <row r="397" customFormat="false" ht="15" hidden="false" customHeight="true" outlineLevel="0" collapsed="false">
      <c r="F397" s="1" t="str">
        <f aca="false">IF(Data!$H385="usa",Data!$A385,"")</f>
        <v/>
      </c>
      <c r="G397" s="21" t="n">
        <f aca="false">IF(Data!$H385="japan",Data!$A385,"")</f>
        <v>34</v>
      </c>
    </row>
    <row r="398" customFormat="false" ht="15" hidden="false" customHeight="true" outlineLevel="0" collapsed="false">
      <c r="F398" s="1" t="str">
        <f aca="false">IF(Data!$H386="usa",Data!$A386,"")</f>
        <v/>
      </c>
      <c r="G398" s="21" t="n">
        <f aca="false">IF(Data!$H386="japan",Data!$A386,"")</f>
        <v>38</v>
      </c>
    </row>
    <row r="399" customFormat="false" ht="15" hidden="false" customHeight="true" outlineLevel="0" collapsed="false">
      <c r="F399" s="1" t="str">
        <f aca="false">IF(Data!$H387="usa",Data!$A387,"")</f>
        <v/>
      </c>
      <c r="G399" s="21" t="n">
        <f aca="false">IF(Data!$H387="japan",Data!$A387,"")</f>
        <v>32</v>
      </c>
    </row>
    <row r="400" customFormat="false" ht="15" hidden="false" customHeight="true" outlineLevel="0" collapsed="false">
      <c r="F400" s="1" t="str">
        <f aca="false">IF(Data!$H388="usa",Data!$A388,"")</f>
        <v/>
      </c>
      <c r="G400" s="21" t="n">
        <f aca="false">IF(Data!$H388="japan",Data!$A388,"")</f>
        <v>38</v>
      </c>
    </row>
    <row r="401" customFormat="false" ht="15" hidden="false" customHeight="true" outlineLevel="0" collapsed="false">
      <c r="F401" s="21" t="n">
        <f aca="false">IF(Data!$H389="usa",Data!$A389,"")</f>
        <v>25</v>
      </c>
      <c r="G401" s="1" t="str">
        <f aca="false">IF(Data!$H389="japan",Data!$A389,"")</f>
        <v/>
      </c>
    </row>
    <row r="402" customFormat="false" ht="15" hidden="false" customHeight="true" outlineLevel="0" collapsed="false">
      <c r="F402" s="21" t="n">
        <f aca="false">IF(Data!$H390="usa",Data!$A390,"")</f>
        <v>38</v>
      </c>
      <c r="G402" s="1" t="str">
        <f aca="false">IF(Data!$H390="japan",Data!$A390,"")</f>
        <v/>
      </c>
    </row>
    <row r="403" customFormat="false" ht="15" hidden="false" customHeight="true" outlineLevel="0" collapsed="false">
      <c r="F403" s="21" t="n">
        <f aca="false">IF(Data!$H391="usa",Data!$A391,"")</f>
        <v>26</v>
      </c>
      <c r="G403" s="1" t="str">
        <f aca="false">IF(Data!$H391="japan",Data!$A391,"")</f>
        <v/>
      </c>
    </row>
    <row r="404" customFormat="false" ht="15" hidden="false" customHeight="true" outlineLevel="0" collapsed="false">
      <c r="F404" s="21" t="n">
        <f aca="false">IF(Data!$H392="usa",Data!$A392,"")</f>
        <v>22</v>
      </c>
      <c r="G404" s="1" t="str">
        <f aca="false">IF(Data!$H392="japan",Data!$A392,"")</f>
        <v/>
      </c>
    </row>
    <row r="405" customFormat="false" ht="15" hidden="false" customHeight="true" outlineLevel="0" collapsed="false">
      <c r="F405" s="1" t="str">
        <f aca="false">IF(Data!$H393="usa",Data!$A393,"")</f>
        <v/>
      </c>
      <c r="G405" s="21" t="n">
        <f aca="false">IF(Data!$H393="japan",Data!$A393,"")</f>
        <v>32</v>
      </c>
    </row>
    <row r="406" customFormat="false" ht="15" hidden="false" customHeight="true" outlineLevel="0" collapsed="false">
      <c r="F406" s="21" t="n">
        <f aca="false">IF(Data!$H394="usa",Data!$A394,"")</f>
        <v>36</v>
      </c>
      <c r="G406" s="1" t="str">
        <f aca="false">IF(Data!$H394="japan",Data!$A394,"")</f>
        <v/>
      </c>
    </row>
    <row r="407" customFormat="false" ht="15" hidden="false" customHeight="true" outlineLevel="0" collapsed="false">
      <c r="F407" s="21" t="n">
        <f aca="false">IF(Data!$H395="usa",Data!$A395,"")</f>
        <v>27</v>
      </c>
      <c r="G407" s="1" t="str">
        <f aca="false">IF(Data!$H395="japan",Data!$A395,"")</f>
        <v/>
      </c>
    </row>
    <row r="408" customFormat="false" ht="15" hidden="false" customHeight="true" outlineLevel="0" collapsed="false">
      <c r="F408" s="21" t="n">
        <f aca="false">IF(Data!$H396="usa",Data!$A396,"")</f>
        <v>27</v>
      </c>
      <c r="G408" s="1" t="str">
        <f aca="false">IF(Data!$H396="japan",Data!$A396,"")</f>
        <v/>
      </c>
    </row>
    <row r="409" customFormat="false" ht="15" hidden="false" customHeight="true" outlineLevel="0" collapsed="false">
      <c r="F409" s="1" t="str">
        <f aca="false">IF(Data!$H397="usa",Data!$A397,"")</f>
        <v/>
      </c>
      <c r="G409" s="1" t="str">
        <f aca="false">IF(Data!$H397="japan",Data!$A397,"")</f>
        <v/>
      </c>
    </row>
    <row r="410" customFormat="false" ht="15" hidden="false" customHeight="true" outlineLevel="0" collapsed="false">
      <c r="F410" s="21" t="n">
        <f aca="false">IF(Data!$H398="usa",Data!$A398,"")</f>
        <v>32</v>
      </c>
      <c r="G410" s="1" t="str">
        <f aca="false">IF(Data!$H398="japan",Data!$A398,"")</f>
        <v/>
      </c>
    </row>
    <row r="411" customFormat="false" ht="15" hidden="false" customHeight="true" outlineLevel="0" collapsed="false">
      <c r="F411" s="21" t="n">
        <f aca="false">IF(Data!$H399="usa",Data!$A399,"")</f>
        <v>28</v>
      </c>
      <c r="G411" s="1" t="str">
        <f aca="false">IF(Data!$H399="japan",Data!$A399,"")</f>
        <v/>
      </c>
    </row>
    <row r="412" customFormat="false" ht="15" hidden="false" customHeight="true" outlineLevel="0" collapsed="false">
      <c r="F412" s="21" t="n">
        <f aca="false">IF(Data!$H400="usa",Data!$A400,"")</f>
        <v>31</v>
      </c>
      <c r="G412" s="1" t="str">
        <f aca="false">IF(Data!$H400="japan",Data!$A400,"")</f>
        <v/>
      </c>
    </row>
  </sheetData>
  <mergeCells count="12">
    <mergeCell ref="A1:D1"/>
    <mergeCell ref="A3:D3"/>
    <mergeCell ref="A4:D7"/>
    <mergeCell ref="A12:D12"/>
    <mergeCell ref="A13:D13"/>
    <mergeCell ref="A14:D14"/>
    <mergeCell ref="A18:D18"/>
    <mergeCell ref="B23:D23"/>
    <mergeCell ref="A25:D25"/>
    <mergeCell ref="A26:D27"/>
    <mergeCell ref="A29:D29"/>
    <mergeCell ref="A30:D3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18"/>
    <col collapsed="false" customWidth="true" hidden="false" outlineLevel="0" max="3" min="3" style="1" width="6"/>
    <col collapsed="false" customWidth="true" hidden="false" outlineLevel="0" max="4" min="4" style="1" width="55"/>
    <col collapsed="false" customWidth="true" hidden="false" outlineLevel="0" max="5" min="5" style="1" width="6"/>
    <col collapsed="false" customWidth="true" hidden="false" outlineLevel="0" max="7" min="6" style="1" width="12"/>
  </cols>
  <sheetData>
    <row r="1" customFormat="false" ht="25.5" hidden="false" customHeight="true" outlineLevel="0" collapsed="false">
      <c r="A1" s="2" t="s">
        <v>448</v>
      </c>
      <c r="B1" s="2"/>
      <c r="C1" s="2"/>
      <c r="D1" s="2"/>
    </row>
    <row r="3" customFormat="false" ht="18" hidden="false" customHeight="true" outlineLevel="0" collapsed="false">
      <c r="A3" s="4" t="s">
        <v>361</v>
      </c>
      <c r="B3" s="4"/>
      <c r="C3" s="4"/>
      <c r="D3" s="4"/>
    </row>
    <row r="4" customFormat="false" ht="15" hidden="false" customHeight="true" outlineLevel="0" collapsed="false">
      <c r="A4" s="3" t="s">
        <v>449</v>
      </c>
      <c r="B4" s="3"/>
      <c r="C4" s="3"/>
      <c r="D4" s="3"/>
    </row>
    <row r="5" customFormat="false" ht="15" hidden="false" customHeight="true" outlineLevel="0" collapsed="false">
      <c r="A5" s="3"/>
      <c r="B5" s="3"/>
      <c r="C5" s="3"/>
      <c r="D5" s="3"/>
    </row>
    <row r="6" customFormat="false" ht="15" hidden="false" customHeight="true" outlineLevel="0" collapsed="false">
      <c r="A6" s="3"/>
      <c r="B6" s="3"/>
      <c r="C6" s="3"/>
      <c r="D6" s="3"/>
    </row>
    <row r="8" customFormat="false" ht="15" hidden="false" customHeight="true" outlineLevel="0" collapsed="false">
      <c r="A8" s="12" t="s">
        <v>363</v>
      </c>
      <c r="B8" s="13" t="s">
        <v>450</v>
      </c>
    </row>
    <row r="9" customFormat="false" ht="15" hidden="false" customHeight="true" outlineLevel="0" collapsed="false">
      <c r="A9" s="12" t="s">
        <v>365</v>
      </c>
      <c r="B9" s="13" t="s">
        <v>451</v>
      </c>
    </row>
    <row r="11" customFormat="false" ht="18" hidden="false" customHeight="true" outlineLevel="0" collapsed="false">
      <c r="A11" s="4" t="s">
        <v>452</v>
      </c>
      <c r="B11" s="4"/>
      <c r="C11" s="4"/>
      <c r="D11" s="4"/>
    </row>
    <row r="12" customFormat="false" ht="15" hidden="false" customHeight="true" outlineLevel="0" collapsed="false">
      <c r="A12" s="3" t="s">
        <v>453</v>
      </c>
      <c r="B12" s="3"/>
      <c r="C12" s="3"/>
      <c r="D12" s="3"/>
    </row>
    <row r="13" customFormat="false" ht="18" hidden="false" customHeight="true" outlineLevel="0" collapsed="false">
      <c r="A13" s="4" t="s">
        <v>388</v>
      </c>
      <c r="B13" s="4"/>
      <c r="C13" s="4"/>
      <c r="D13" s="4"/>
      <c r="F13" s="20" t="s">
        <v>454</v>
      </c>
      <c r="G13" s="20" t="s">
        <v>455</v>
      </c>
    </row>
    <row r="14" customFormat="false" ht="15" hidden="false" customHeight="true" outlineLevel="0" collapsed="false">
      <c r="A14" s="22" t="s">
        <v>456</v>
      </c>
      <c r="B14" s="14" t="n">
        <f aca="false">COUNT(F14:F411)</f>
        <v>182</v>
      </c>
      <c r="C14" s="14" t="n">
        <f aca="false">COUNT(G14:G411)</f>
        <v>216</v>
      </c>
      <c r="F14" s="21" t="n">
        <f aca="false">IF(Data!$G3&lt;=75,Data!$A3,"")</f>
        <v>18</v>
      </c>
      <c r="G14" s="1" t="str">
        <f aca="false">IF(Data!$G3&gt;75,Data!$A3,"")</f>
        <v/>
      </c>
    </row>
    <row r="15" customFormat="false" ht="15" hidden="false" customHeight="true" outlineLevel="0" collapsed="false">
      <c r="A15" s="12" t="s">
        <v>457</v>
      </c>
      <c r="B15" s="15" t="n">
        <f aca="false">AVERAGE(F14:F411)</f>
        <v>19.4340659340659</v>
      </c>
      <c r="F15" s="21" t="n">
        <f aca="false">IF(Data!$G4&lt;=75,Data!$A4,"")</f>
        <v>15</v>
      </c>
      <c r="G15" s="1" t="str">
        <f aca="false">IF(Data!$G4&gt;75,Data!$A4,"")</f>
        <v/>
      </c>
    </row>
    <row r="16" customFormat="false" ht="15" hidden="false" customHeight="true" outlineLevel="0" collapsed="false">
      <c r="A16" s="12" t="s">
        <v>458</v>
      </c>
      <c r="B16" s="15" t="n">
        <f aca="false">AVERAGE(G14:G411)</f>
        <v>26.9527777777778</v>
      </c>
      <c r="F16" s="21" t="n">
        <f aca="false">IF(Data!$G5&lt;=75,Data!$A5,"")</f>
        <v>18</v>
      </c>
      <c r="G16" s="1" t="str">
        <f aca="false">IF(Data!$G5&gt;75,Data!$A5,"")</f>
        <v/>
      </c>
    </row>
    <row r="17" customFormat="false" ht="15" hidden="false" customHeight="true" outlineLevel="0" collapsed="false">
      <c r="F17" s="21" t="n">
        <f aca="false">IF(Data!$G6&lt;=75,Data!$A6,"")</f>
        <v>16</v>
      </c>
      <c r="G17" s="1" t="str">
        <f aca="false">IF(Data!$G6&gt;75,Data!$A6,"")</f>
        <v/>
      </c>
    </row>
    <row r="18" customFormat="false" ht="18" hidden="false" customHeight="true" outlineLevel="0" collapsed="false">
      <c r="A18" s="4" t="s">
        <v>459</v>
      </c>
      <c r="B18" s="4"/>
      <c r="C18" s="4"/>
      <c r="D18" s="4"/>
      <c r="F18" s="21" t="n">
        <f aca="false">IF(Data!$G7&lt;=75,Data!$A7,"")</f>
        <v>17</v>
      </c>
      <c r="G18" s="1" t="str">
        <f aca="false">IF(Data!$G7&gt;75,Data!$A7,"")</f>
        <v/>
      </c>
    </row>
    <row r="19" customFormat="false" ht="23.25" hidden="false" customHeight="true" outlineLevel="0" collapsed="false">
      <c r="A19" s="22" t="s">
        <v>460</v>
      </c>
      <c r="B19" s="23" t="n">
        <f aca="false">TTEST(G14:G411,F14:F411,1,3)</f>
        <v>1.67056514504E-025</v>
      </c>
      <c r="C19" s="3" t="s">
        <v>461</v>
      </c>
      <c r="D19" s="3"/>
      <c r="F19" s="21" t="n">
        <f aca="false">IF(Data!$G8&lt;=75,Data!$A8,"")</f>
        <v>15</v>
      </c>
      <c r="G19" s="1" t="str">
        <f aca="false">IF(Data!$G8&gt;75,Data!$A8,"")</f>
        <v/>
      </c>
    </row>
    <row r="20" customFormat="false" ht="15" hidden="false" customHeight="true" outlineLevel="0" collapsed="false">
      <c r="A20" s="12" t="s">
        <v>378</v>
      </c>
      <c r="B20" s="7" t="n">
        <v>0.05</v>
      </c>
      <c r="F20" s="21" t="n">
        <f aca="false">IF(Data!$G9&lt;=75,Data!$A9,"")</f>
        <v>14</v>
      </c>
      <c r="G20" s="1" t="str">
        <f aca="false">IF(Data!$G9&gt;75,Data!$A9,"")</f>
        <v/>
      </c>
    </row>
    <row r="21" customFormat="false" ht="15" hidden="false" customHeight="true" outlineLevel="0" collapsed="false">
      <c r="F21" s="21" t="n">
        <f aca="false">IF(Data!$G10&lt;=75,Data!$A10,"")</f>
        <v>14</v>
      </c>
      <c r="G21" s="1" t="str">
        <f aca="false">IF(Data!$G10&gt;75,Data!$A10,"")</f>
        <v/>
      </c>
    </row>
    <row r="22" customFormat="false" ht="15" hidden="false" customHeight="true" outlineLevel="0" collapsed="false">
      <c r="A22" s="12" t="s">
        <v>40</v>
      </c>
      <c r="B22" s="18" t="str">
        <f aca="false">IF(B19&lt;B20,"Reject H0: Newer cars have significantly higher mean MPG than older cars","Fail to reject H0: Not enough evidence that newer cars have higher mean MPG")</f>
        <v>Reject H0: Newer cars have significantly higher mean MPG than older cars</v>
      </c>
      <c r="C22" s="18"/>
      <c r="D22" s="18"/>
      <c r="F22" s="21" t="n">
        <f aca="false">IF(Data!$G11&lt;=75,Data!$A11,"")</f>
        <v>14</v>
      </c>
      <c r="G22" s="1" t="str">
        <f aca="false">IF(Data!$G11&gt;75,Data!$A11,"")</f>
        <v/>
      </c>
    </row>
    <row r="23" customFormat="false" ht="15" hidden="false" customHeight="true" outlineLevel="0" collapsed="false">
      <c r="F23" s="21" t="n">
        <f aca="false">IF(Data!$G12&lt;=75,Data!$A12,"")</f>
        <v>15</v>
      </c>
      <c r="G23" s="1" t="str">
        <f aca="false">IF(Data!$G12&gt;75,Data!$A12,"")</f>
        <v/>
      </c>
    </row>
    <row r="24" customFormat="false" ht="18" hidden="false" customHeight="true" outlineLevel="0" collapsed="false">
      <c r="A24" s="4" t="s">
        <v>379</v>
      </c>
      <c r="B24" s="4"/>
      <c r="C24" s="4"/>
      <c r="D24" s="4"/>
      <c r="F24" s="21" t="n">
        <f aca="false">IF(Data!$G13&lt;=75,Data!$A13,"")</f>
        <v>15</v>
      </c>
      <c r="G24" s="1" t="str">
        <f aca="false">IF(Data!$G13&gt;75,Data!$A13,"")</f>
        <v/>
      </c>
    </row>
    <row r="25" customFormat="false" ht="15" hidden="false" customHeight="true" outlineLevel="0" collapsed="false">
      <c r="A25" s="3" t="s">
        <v>462</v>
      </c>
      <c r="B25" s="3"/>
      <c r="C25" s="3"/>
      <c r="D25" s="3"/>
      <c r="F25" s="21" t="n">
        <f aca="false">IF(Data!$G14&lt;=75,Data!$A14,"")</f>
        <v>14</v>
      </c>
      <c r="G25" s="1" t="str">
        <f aca="false">IF(Data!$G14&gt;75,Data!$A14,"")</f>
        <v/>
      </c>
    </row>
    <row r="26" customFormat="false" ht="15" hidden="false" customHeight="true" outlineLevel="0" collapsed="false">
      <c r="A26" s="3"/>
      <c r="B26" s="3"/>
      <c r="C26" s="3"/>
      <c r="D26" s="3"/>
      <c r="F26" s="21" t="n">
        <f aca="false">IF(Data!$G15&lt;=75,Data!$A15,"")</f>
        <v>15</v>
      </c>
      <c r="G26" s="1" t="str">
        <f aca="false">IF(Data!$G15&gt;75,Data!$A15,"")</f>
        <v/>
      </c>
    </row>
    <row r="27" customFormat="false" ht="15" hidden="false" customHeight="true" outlineLevel="0" collapsed="false">
      <c r="F27" s="21" t="n">
        <f aca="false">IF(Data!$G16&lt;=75,Data!$A16,"")</f>
        <v>14</v>
      </c>
      <c r="G27" s="1" t="str">
        <f aca="false">IF(Data!$G16&gt;75,Data!$A16,"")</f>
        <v/>
      </c>
    </row>
    <row r="28" customFormat="false" ht="18" hidden="false" customHeight="true" outlineLevel="0" collapsed="false">
      <c r="A28" s="4" t="s">
        <v>381</v>
      </c>
      <c r="B28" s="4"/>
      <c r="C28" s="4"/>
      <c r="D28" s="4"/>
      <c r="F28" s="21" t="n">
        <f aca="false">IF(Data!$G17&lt;=75,Data!$A17,"")</f>
        <v>24</v>
      </c>
      <c r="G28" s="1" t="str">
        <f aca="false">IF(Data!$G17&gt;75,Data!$A17,"")</f>
        <v/>
      </c>
    </row>
    <row r="29" customFormat="false" ht="60" hidden="false" customHeight="true" outlineLevel="0" collapsed="false">
      <c r="A29" s="19" t="str">
        <f aca="false">IF(B19&lt;B20,"There is very strong statistical evidence that newer cars (after 1975) are more fuel-efficient (higher MPG) than older cars (1975 and earlier) in this dataset.","There is not enough statistical evidence to conclude that newer cars have higher MPG than older cars.")</f>
        <v>There is very strong statistical evidence that newer cars (after 1975) are more fuel-efficient (higher MPG) than older cars (1975 and earlier) in this dataset.</v>
      </c>
      <c r="B29" s="19"/>
      <c r="C29" s="19"/>
      <c r="D29" s="19"/>
      <c r="F29" s="21" t="n">
        <f aca="false">IF(Data!$G18&lt;=75,Data!$A18,"")</f>
        <v>22</v>
      </c>
      <c r="G29" s="1" t="str">
        <f aca="false">IF(Data!$G18&gt;75,Data!$A18,"")</f>
        <v/>
      </c>
    </row>
    <row r="30" customFormat="false" ht="15" hidden="false" customHeight="true" outlineLevel="0" collapsed="false">
      <c r="A30" s="19"/>
      <c r="B30" s="19"/>
      <c r="C30" s="19"/>
      <c r="D30" s="19"/>
      <c r="F30" s="21" t="n">
        <f aca="false">IF(Data!$G19&lt;=75,Data!$A19,"")</f>
        <v>18</v>
      </c>
      <c r="G30" s="1" t="str">
        <f aca="false">IF(Data!$G19&gt;75,Data!$A19,"")</f>
        <v/>
      </c>
    </row>
    <row r="31" customFormat="false" ht="15" hidden="false" customHeight="true" outlineLevel="0" collapsed="false">
      <c r="A31" s="19"/>
      <c r="B31" s="19"/>
      <c r="C31" s="19"/>
      <c r="D31" s="19"/>
      <c r="F31" s="21" t="n">
        <f aca="false">IF(Data!$G20&lt;=75,Data!$A20,"")</f>
        <v>21</v>
      </c>
      <c r="G31" s="1" t="str">
        <f aca="false">IF(Data!$G20&gt;75,Data!$A20,"")</f>
        <v/>
      </c>
    </row>
    <row r="32" customFormat="false" ht="15" hidden="false" customHeight="true" outlineLevel="0" collapsed="false">
      <c r="A32" s="19"/>
      <c r="B32" s="19"/>
      <c r="C32" s="19"/>
      <c r="D32" s="19"/>
      <c r="F32" s="21" t="n">
        <f aca="false">IF(Data!$G21&lt;=75,Data!$A21,"")</f>
        <v>27</v>
      </c>
      <c r="G32" s="1" t="str">
        <f aca="false">IF(Data!$G21&gt;75,Data!$A21,"")</f>
        <v/>
      </c>
    </row>
    <row r="33" customFormat="false" ht="15" hidden="false" customHeight="true" outlineLevel="0" collapsed="false">
      <c r="F33" s="21" t="n">
        <f aca="false">IF(Data!$G22&lt;=75,Data!$A22,"")</f>
        <v>26</v>
      </c>
      <c r="G33" s="1" t="str">
        <f aca="false">IF(Data!$G22&gt;75,Data!$A22,"")</f>
        <v/>
      </c>
    </row>
    <row r="34" customFormat="false" ht="15" hidden="false" customHeight="true" outlineLevel="0" collapsed="false">
      <c r="F34" s="21" t="n">
        <f aca="false">IF(Data!$G23&lt;=75,Data!$A23,"")</f>
        <v>25</v>
      </c>
      <c r="G34" s="1" t="str">
        <f aca="false">IF(Data!$G23&gt;75,Data!$A23,"")</f>
        <v/>
      </c>
    </row>
    <row r="35" customFormat="false" ht="15" hidden="false" customHeight="true" outlineLevel="0" collapsed="false">
      <c r="F35" s="21" t="n">
        <f aca="false">IF(Data!$G24&lt;=75,Data!$A24,"")</f>
        <v>24</v>
      </c>
      <c r="G35" s="1" t="str">
        <f aca="false">IF(Data!$G24&gt;75,Data!$A24,"")</f>
        <v/>
      </c>
    </row>
    <row r="36" customFormat="false" ht="15" hidden="false" customHeight="true" outlineLevel="0" collapsed="false">
      <c r="F36" s="21" t="n">
        <f aca="false">IF(Data!$G25&lt;=75,Data!$A25,"")</f>
        <v>25</v>
      </c>
      <c r="G36" s="1" t="str">
        <f aca="false">IF(Data!$G25&gt;75,Data!$A25,"")</f>
        <v/>
      </c>
    </row>
    <row r="37" customFormat="false" ht="15" hidden="false" customHeight="true" outlineLevel="0" collapsed="false">
      <c r="F37" s="21" t="n">
        <f aca="false">IF(Data!$G26&lt;=75,Data!$A26,"")</f>
        <v>26</v>
      </c>
      <c r="G37" s="1" t="str">
        <f aca="false">IF(Data!$G26&gt;75,Data!$A26,"")</f>
        <v/>
      </c>
    </row>
    <row r="38" customFormat="false" ht="15" hidden="false" customHeight="true" outlineLevel="0" collapsed="false">
      <c r="F38" s="21" t="n">
        <f aca="false">IF(Data!$G27&lt;=75,Data!$A27,"")</f>
        <v>21</v>
      </c>
      <c r="G38" s="1" t="str">
        <f aca="false">IF(Data!$G27&gt;75,Data!$A27,"")</f>
        <v/>
      </c>
    </row>
    <row r="39" customFormat="false" ht="15" hidden="false" customHeight="true" outlineLevel="0" collapsed="false">
      <c r="F39" s="21" t="n">
        <f aca="false">IF(Data!$G28&lt;=75,Data!$A28,"")</f>
        <v>10</v>
      </c>
      <c r="G39" s="1" t="str">
        <f aca="false">IF(Data!$G28&gt;75,Data!$A28,"")</f>
        <v/>
      </c>
    </row>
    <row r="40" customFormat="false" ht="15" hidden="false" customHeight="true" outlineLevel="0" collapsed="false">
      <c r="F40" s="21" t="n">
        <f aca="false">IF(Data!$G29&lt;=75,Data!$A29,"")</f>
        <v>10</v>
      </c>
      <c r="G40" s="1" t="str">
        <f aca="false">IF(Data!$G29&gt;75,Data!$A29,"")</f>
        <v/>
      </c>
    </row>
    <row r="41" customFormat="false" ht="15" hidden="false" customHeight="true" outlineLevel="0" collapsed="false">
      <c r="F41" s="21" t="n">
        <f aca="false">IF(Data!$G30&lt;=75,Data!$A30,"")</f>
        <v>11</v>
      </c>
      <c r="G41" s="1" t="str">
        <f aca="false">IF(Data!$G30&gt;75,Data!$A30,"")</f>
        <v/>
      </c>
    </row>
    <row r="42" customFormat="false" ht="15" hidden="false" customHeight="true" outlineLevel="0" collapsed="false">
      <c r="F42" s="21" t="n">
        <f aca="false">IF(Data!$G31&lt;=75,Data!$A31,"")</f>
        <v>9</v>
      </c>
      <c r="G42" s="1" t="str">
        <f aca="false">IF(Data!$G31&gt;75,Data!$A31,"")</f>
        <v/>
      </c>
    </row>
    <row r="43" customFormat="false" ht="15" hidden="false" customHeight="true" outlineLevel="0" collapsed="false">
      <c r="F43" s="21" t="n">
        <f aca="false">IF(Data!$G32&lt;=75,Data!$A32,"")</f>
        <v>27</v>
      </c>
      <c r="G43" s="1" t="str">
        <f aca="false">IF(Data!$G32&gt;75,Data!$A32,"")</f>
        <v/>
      </c>
    </row>
    <row r="44" customFormat="false" ht="15" hidden="false" customHeight="true" outlineLevel="0" collapsed="false">
      <c r="F44" s="21" t="n">
        <f aca="false">IF(Data!$G33&lt;=75,Data!$A33,"")</f>
        <v>28</v>
      </c>
      <c r="G44" s="1" t="str">
        <f aca="false">IF(Data!$G33&gt;75,Data!$A33,"")</f>
        <v/>
      </c>
    </row>
    <row r="45" customFormat="false" ht="15" hidden="false" customHeight="true" outlineLevel="0" collapsed="false">
      <c r="F45" s="21" t="n">
        <f aca="false">IF(Data!$G34&lt;=75,Data!$A34,"")</f>
        <v>25</v>
      </c>
      <c r="G45" s="1" t="str">
        <f aca="false">IF(Data!$G34&gt;75,Data!$A34,"")</f>
        <v/>
      </c>
    </row>
    <row r="46" customFormat="false" ht="15" hidden="false" customHeight="true" outlineLevel="0" collapsed="false">
      <c r="F46" s="21" t="n">
        <f aca="false">IF(Data!$G35&lt;=75,Data!$A35,"")</f>
        <v>25</v>
      </c>
      <c r="G46" s="1" t="str">
        <f aca="false">IF(Data!$G35&gt;75,Data!$A35,"")</f>
        <v/>
      </c>
    </row>
    <row r="47" customFormat="false" ht="15" hidden="false" customHeight="true" outlineLevel="0" collapsed="false">
      <c r="F47" s="21" t="n">
        <f aca="false">IF(Data!$G36&lt;=75,Data!$A36,"")</f>
        <v>19</v>
      </c>
      <c r="G47" s="1" t="str">
        <f aca="false">IF(Data!$G36&gt;75,Data!$A36,"")</f>
        <v/>
      </c>
    </row>
    <row r="48" customFormat="false" ht="15" hidden="false" customHeight="true" outlineLevel="0" collapsed="false">
      <c r="F48" s="21" t="n">
        <f aca="false">IF(Data!$G37&lt;=75,Data!$A37,"")</f>
        <v>16</v>
      </c>
      <c r="G48" s="1" t="str">
        <f aca="false">IF(Data!$G37&gt;75,Data!$A37,"")</f>
        <v/>
      </c>
    </row>
    <row r="49" customFormat="false" ht="15" hidden="false" customHeight="true" outlineLevel="0" collapsed="false">
      <c r="F49" s="21" t="n">
        <f aca="false">IF(Data!$G38&lt;=75,Data!$A38,"")</f>
        <v>17</v>
      </c>
      <c r="G49" s="1" t="str">
        <f aca="false">IF(Data!$G38&gt;75,Data!$A38,"")</f>
        <v/>
      </c>
    </row>
    <row r="50" customFormat="false" ht="15" hidden="false" customHeight="true" outlineLevel="0" collapsed="false">
      <c r="F50" s="21" t="n">
        <f aca="false">IF(Data!$G39&lt;=75,Data!$A39,"")</f>
        <v>19</v>
      </c>
      <c r="G50" s="1" t="str">
        <f aca="false">IF(Data!$G39&gt;75,Data!$A39,"")</f>
        <v/>
      </c>
    </row>
    <row r="51" customFormat="false" ht="15" hidden="false" customHeight="true" outlineLevel="0" collapsed="false">
      <c r="F51" s="21" t="n">
        <f aca="false">IF(Data!$G40&lt;=75,Data!$A40,"")</f>
        <v>18</v>
      </c>
      <c r="G51" s="1" t="str">
        <f aca="false">IF(Data!$G40&gt;75,Data!$A40,"")</f>
        <v/>
      </c>
    </row>
    <row r="52" customFormat="false" ht="15" hidden="false" customHeight="true" outlineLevel="0" collapsed="false">
      <c r="F52" s="21" t="n">
        <f aca="false">IF(Data!$G41&lt;=75,Data!$A41,"")</f>
        <v>14</v>
      </c>
      <c r="G52" s="1" t="str">
        <f aca="false">IF(Data!$G41&gt;75,Data!$A41,"")</f>
        <v/>
      </c>
    </row>
    <row r="53" customFormat="false" ht="15" hidden="false" customHeight="true" outlineLevel="0" collapsed="false">
      <c r="F53" s="21" t="n">
        <f aca="false">IF(Data!$G42&lt;=75,Data!$A42,"")</f>
        <v>14</v>
      </c>
      <c r="G53" s="1" t="str">
        <f aca="false">IF(Data!$G42&gt;75,Data!$A42,"")</f>
        <v/>
      </c>
    </row>
    <row r="54" customFormat="false" ht="15" hidden="false" customHeight="true" outlineLevel="0" collapsed="false">
      <c r="F54" s="21" t="n">
        <f aca="false">IF(Data!$G43&lt;=75,Data!$A43,"")</f>
        <v>14</v>
      </c>
      <c r="G54" s="1" t="str">
        <f aca="false">IF(Data!$G43&gt;75,Data!$A43,"")</f>
        <v/>
      </c>
    </row>
    <row r="55" customFormat="false" ht="15" hidden="false" customHeight="true" outlineLevel="0" collapsed="false">
      <c r="F55" s="21" t="n">
        <f aca="false">IF(Data!$G44&lt;=75,Data!$A44,"")</f>
        <v>14</v>
      </c>
      <c r="G55" s="1" t="str">
        <f aca="false">IF(Data!$G44&gt;75,Data!$A44,"")</f>
        <v/>
      </c>
    </row>
    <row r="56" customFormat="false" ht="15" hidden="false" customHeight="true" outlineLevel="0" collapsed="false">
      <c r="F56" s="21" t="n">
        <f aca="false">IF(Data!$G45&lt;=75,Data!$A45,"")</f>
        <v>12</v>
      </c>
      <c r="G56" s="1" t="str">
        <f aca="false">IF(Data!$G45&gt;75,Data!$A45,"")</f>
        <v/>
      </c>
    </row>
    <row r="57" customFormat="false" ht="15" hidden="false" customHeight="true" outlineLevel="0" collapsed="false">
      <c r="F57" s="21" t="n">
        <f aca="false">IF(Data!$G46&lt;=75,Data!$A46,"")</f>
        <v>13</v>
      </c>
      <c r="G57" s="1" t="str">
        <f aca="false">IF(Data!$G46&gt;75,Data!$A46,"")</f>
        <v/>
      </c>
    </row>
    <row r="58" customFormat="false" ht="15" hidden="false" customHeight="true" outlineLevel="0" collapsed="false">
      <c r="F58" s="21" t="n">
        <f aca="false">IF(Data!$G47&lt;=75,Data!$A47,"")</f>
        <v>13</v>
      </c>
      <c r="G58" s="1" t="str">
        <f aca="false">IF(Data!$G47&gt;75,Data!$A47,"")</f>
        <v/>
      </c>
    </row>
    <row r="59" customFormat="false" ht="15" hidden="false" customHeight="true" outlineLevel="0" collapsed="false">
      <c r="F59" s="21" t="n">
        <f aca="false">IF(Data!$G48&lt;=75,Data!$A48,"")</f>
        <v>18</v>
      </c>
      <c r="G59" s="1" t="str">
        <f aca="false">IF(Data!$G48&gt;75,Data!$A48,"")</f>
        <v/>
      </c>
    </row>
    <row r="60" customFormat="false" ht="15" hidden="false" customHeight="true" outlineLevel="0" collapsed="false">
      <c r="F60" s="21" t="n">
        <f aca="false">IF(Data!$G49&lt;=75,Data!$A49,"")</f>
        <v>22</v>
      </c>
      <c r="G60" s="1" t="str">
        <f aca="false">IF(Data!$G49&gt;75,Data!$A49,"")</f>
        <v/>
      </c>
    </row>
    <row r="61" customFormat="false" ht="15" hidden="false" customHeight="true" outlineLevel="0" collapsed="false">
      <c r="F61" s="21" t="n">
        <f aca="false">IF(Data!$G50&lt;=75,Data!$A50,"")</f>
        <v>19</v>
      </c>
      <c r="G61" s="1" t="str">
        <f aca="false">IF(Data!$G50&gt;75,Data!$A50,"")</f>
        <v/>
      </c>
    </row>
    <row r="62" customFormat="false" ht="15" hidden="false" customHeight="true" outlineLevel="0" collapsed="false">
      <c r="F62" s="21" t="n">
        <f aca="false">IF(Data!$G51&lt;=75,Data!$A51,"")</f>
        <v>18</v>
      </c>
      <c r="G62" s="1" t="str">
        <f aca="false">IF(Data!$G51&gt;75,Data!$A51,"")</f>
        <v/>
      </c>
    </row>
    <row r="63" customFormat="false" ht="15" hidden="false" customHeight="true" outlineLevel="0" collapsed="false">
      <c r="F63" s="21" t="n">
        <f aca="false">IF(Data!$G52&lt;=75,Data!$A52,"")</f>
        <v>23</v>
      </c>
      <c r="G63" s="1" t="str">
        <f aca="false">IF(Data!$G52&gt;75,Data!$A52,"")</f>
        <v/>
      </c>
    </row>
    <row r="64" customFormat="false" ht="15" hidden="false" customHeight="true" outlineLevel="0" collapsed="false">
      <c r="F64" s="21" t="n">
        <f aca="false">IF(Data!$G53&lt;=75,Data!$A53,"")</f>
        <v>28</v>
      </c>
      <c r="G64" s="1" t="str">
        <f aca="false">IF(Data!$G53&gt;75,Data!$A53,"")</f>
        <v/>
      </c>
    </row>
    <row r="65" customFormat="false" ht="15" hidden="false" customHeight="true" outlineLevel="0" collapsed="false">
      <c r="F65" s="21" t="n">
        <f aca="false">IF(Data!$G54&lt;=75,Data!$A54,"")</f>
        <v>30</v>
      </c>
      <c r="G65" s="1" t="str">
        <f aca="false">IF(Data!$G54&gt;75,Data!$A54,"")</f>
        <v/>
      </c>
    </row>
    <row r="66" customFormat="false" ht="15" hidden="false" customHeight="true" outlineLevel="0" collapsed="false">
      <c r="F66" s="21" t="n">
        <f aca="false">IF(Data!$G55&lt;=75,Data!$A55,"")</f>
        <v>30</v>
      </c>
      <c r="G66" s="1" t="str">
        <f aca="false">IF(Data!$G55&gt;75,Data!$A55,"")</f>
        <v/>
      </c>
    </row>
    <row r="67" customFormat="false" ht="15" hidden="false" customHeight="true" outlineLevel="0" collapsed="false">
      <c r="F67" s="21" t="n">
        <f aca="false">IF(Data!$G56&lt;=75,Data!$A56,"")</f>
        <v>31</v>
      </c>
      <c r="G67" s="1" t="str">
        <f aca="false">IF(Data!$G56&gt;75,Data!$A56,"")</f>
        <v/>
      </c>
    </row>
    <row r="68" customFormat="false" ht="15" hidden="false" customHeight="true" outlineLevel="0" collapsed="false">
      <c r="F68" s="21" t="n">
        <f aca="false">IF(Data!$G57&lt;=75,Data!$A57,"")</f>
        <v>35</v>
      </c>
      <c r="G68" s="1" t="str">
        <f aca="false">IF(Data!$G57&gt;75,Data!$A57,"")</f>
        <v/>
      </c>
    </row>
    <row r="69" customFormat="false" ht="15" hidden="false" customHeight="true" outlineLevel="0" collapsed="false">
      <c r="F69" s="21" t="n">
        <f aca="false">IF(Data!$G58&lt;=75,Data!$A58,"")</f>
        <v>27</v>
      </c>
      <c r="G69" s="1" t="str">
        <f aca="false">IF(Data!$G58&gt;75,Data!$A58,"")</f>
        <v/>
      </c>
    </row>
    <row r="70" customFormat="false" ht="15" hidden="false" customHeight="true" outlineLevel="0" collapsed="false">
      <c r="F70" s="21" t="n">
        <f aca="false">IF(Data!$G59&lt;=75,Data!$A59,"")</f>
        <v>26</v>
      </c>
      <c r="G70" s="1" t="str">
        <f aca="false">IF(Data!$G59&gt;75,Data!$A59,"")</f>
        <v/>
      </c>
    </row>
    <row r="71" customFormat="false" ht="15" hidden="false" customHeight="true" outlineLevel="0" collapsed="false">
      <c r="F71" s="21" t="n">
        <f aca="false">IF(Data!$G60&lt;=75,Data!$A60,"")</f>
        <v>24</v>
      </c>
      <c r="G71" s="1" t="str">
        <f aca="false">IF(Data!$G60&gt;75,Data!$A60,"")</f>
        <v/>
      </c>
    </row>
    <row r="72" customFormat="false" ht="15" hidden="false" customHeight="true" outlineLevel="0" collapsed="false">
      <c r="F72" s="21" t="n">
        <f aca="false">IF(Data!$G61&lt;=75,Data!$A61,"")</f>
        <v>25</v>
      </c>
      <c r="G72" s="1" t="str">
        <f aca="false">IF(Data!$G61&gt;75,Data!$A61,"")</f>
        <v/>
      </c>
    </row>
    <row r="73" customFormat="false" ht="15" hidden="false" customHeight="true" outlineLevel="0" collapsed="false">
      <c r="F73" s="21" t="n">
        <f aca="false">IF(Data!$G62&lt;=75,Data!$A62,"")</f>
        <v>23</v>
      </c>
      <c r="G73" s="1" t="str">
        <f aca="false">IF(Data!$G62&gt;75,Data!$A62,"")</f>
        <v/>
      </c>
    </row>
    <row r="74" customFormat="false" ht="15" hidden="false" customHeight="true" outlineLevel="0" collapsed="false">
      <c r="F74" s="21" t="n">
        <f aca="false">IF(Data!$G63&lt;=75,Data!$A63,"")</f>
        <v>20</v>
      </c>
      <c r="G74" s="1" t="str">
        <f aca="false">IF(Data!$G63&gt;75,Data!$A63,"")</f>
        <v/>
      </c>
    </row>
    <row r="75" customFormat="false" ht="15" hidden="false" customHeight="true" outlineLevel="0" collapsed="false">
      <c r="F75" s="21" t="n">
        <f aca="false">IF(Data!$G64&lt;=75,Data!$A64,"")</f>
        <v>21</v>
      </c>
      <c r="G75" s="1" t="str">
        <f aca="false">IF(Data!$G64&gt;75,Data!$A64,"")</f>
        <v/>
      </c>
    </row>
    <row r="76" customFormat="false" ht="15" hidden="false" customHeight="true" outlineLevel="0" collapsed="false">
      <c r="F76" s="21" t="n">
        <f aca="false">IF(Data!$G65&lt;=75,Data!$A65,"")</f>
        <v>13</v>
      </c>
      <c r="G76" s="1" t="str">
        <f aca="false">IF(Data!$G65&gt;75,Data!$A65,"")</f>
        <v/>
      </c>
    </row>
    <row r="77" customFormat="false" ht="15" hidden="false" customHeight="true" outlineLevel="0" collapsed="false">
      <c r="F77" s="21" t="n">
        <f aca="false">IF(Data!$G66&lt;=75,Data!$A66,"")</f>
        <v>14</v>
      </c>
      <c r="G77" s="1" t="str">
        <f aca="false">IF(Data!$G66&gt;75,Data!$A66,"")</f>
        <v/>
      </c>
    </row>
    <row r="78" customFormat="false" ht="15" hidden="false" customHeight="true" outlineLevel="0" collapsed="false">
      <c r="F78" s="21" t="n">
        <f aca="false">IF(Data!$G67&lt;=75,Data!$A67,"")</f>
        <v>15</v>
      </c>
      <c r="G78" s="1" t="str">
        <f aca="false">IF(Data!$G67&gt;75,Data!$A67,"")</f>
        <v/>
      </c>
    </row>
    <row r="79" customFormat="false" ht="15" hidden="false" customHeight="true" outlineLevel="0" collapsed="false">
      <c r="F79" s="21" t="n">
        <f aca="false">IF(Data!$G68&lt;=75,Data!$A68,"")</f>
        <v>14</v>
      </c>
      <c r="G79" s="1" t="str">
        <f aca="false">IF(Data!$G68&gt;75,Data!$A68,"")</f>
        <v/>
      </c>
    </row>
    <row r="80" customFormat="false" ht="15" hidden="false" customHeight="true" outlineLevel="0" collapsed="false">
      <c r="F80" s="21" t="n">
        <f aca="false">IF(Data!$G69&lt;=75,Data!$A69,"")</f>
        <v>17</v>
      </c>
      <c r="G80" s="1" t="str">
        <f aca="false">IF(Data!$G69&gt;75,Data!$A69,"")</f>
        <v/>
      </c>
    </row>
    <row r="81" customFormat="false" ht="15" hidden="false" customHeight="true" outlineLevel="0" collapsed="false">
      <c r="F81" s="21" t="n">
        <f aca="false">IF(Data!$G70&lt;=75,Data!$A70,"")</f>
        <v>11</v>
      </c>
      <c r="G81" s="1" t="str">
        <f aca="false">IF(Data!$G70&gt;75,Data!$A70,"")</f>
        <v/>
      </c>
    </row>
    <row r="82" customFormat="false" ht="15" hidden="false" customHeight="true" outlineLevel="0" collapsed="false">
      <c r="F82" s="21" t="n">
        <f aca="false">IF(Data!$G71&lt;=75,Data!$A71,"")</f>
        <v>13</v>
      </c>
      <c r="G82" s="1" t="str">
        <f aca="false">IF(Data!$G71&gt;75,Data!$A71,"")</f>
        <v/>
      </c>
    </row>
    <row r="83" customFormat="false" ht="15" hidden="false" customHeight="true" outlineLevel="0" collapsed="false">
      <c r="F83" s="21" t="n">
        <f aca="false">IF(Data!$G72&lt;=75,Data!$A72,"")</f>
        <v>12</v>
      </c>
      <c r="G83" s="1" t="str">
        <f aca="false">IF(Data!$G72&gt;75,Data!$A72,"")</f>
        <v/>
      </c>
    </row>
    <row r="84" customFormat="false" ht="15" hidden="false" customHeight="true" outlineLevel="0" collapsed="false">
      <c r="F84" s="21" t="n">
        <f aca="false">IF(Data!$G73&lt;=75,Data!$A73,"")</f>
        <v>13</v>
      </c>
      <c r="G84" s="1" t="str">
        <f aca="false">IF(Data!$G73&gt;75,Data!$A73,"")</f>
        <v/>
      </c>
    </row>
    <row r="85" customFormat="false" ht="15" hidden="false" customHeight="true" outlineLevel="0" collapsed="false">
      <c r="F85" s="21" t="n">
        <f aca="false">IF(Data!$G74&lt;=75,Data!$A74,"")</f>
        <v>19</v>
      </c>
      <c r="G85" s="1" t="str">
        <f aca="false">IF(Data!$G74&gt;75,Data!$A74,"")</f>
        <v/>
      </c>
    </row>
    <row r="86" customFormat="false" ht="15" hidden="false" customHeight="true" outlineLevel="0" collapsed="false">
      <c r="F86" s="21" t="n">
        <f aca="false">IF(Data!$G75&lt;=75,Data!$A75,"")</f>
        <v>15</v>
      </c>
      <c r="G86" s="1" t="str">
        <f aca="false">IF(Data!$G75&gt;75,Data!$A75,"")</f>
        <v/>
      </c>
    </row>
    <row r="87" customFormat="false" ht="15" hidden="false" customHeight="true" outlineLevel="0" collapsed="false">
      <c r="F87" s="21" t="n">
        <f aca="false">IF(Data!$G76&lt;=75,Data!$A76,"")</f>
        <v>13</v>
      </c>
      <c r="G87" s="1" t="str">
        <f aca="false">IF(Data!$G76&gt;75,Data!$A76,"")</f>
        <v/>
      </c>
    </row>
    <row r="88" customFormat="false" ht="15" hidden="false" customHeight="true" outlineLevel="0" collapsed="false">
      <c r="F88" s="21" t="n">
        <f aca="false">IF(Data!$G77&lt;=75,Data!$A77,"")</f>
        <v>13</v>
      </c>
      <c r="G88" s="1" t="str">
        <f aca="false">IF(Data!$G77&gt;75,Data!$A77,"")</f>
        <v/>
      </c>
    </row>
    <row r="89" customFormat="false" ht="15" hidden="false" customHeight="true" outlineLevel="0" collapsed="false">
      <c r="F89" s="21" t="n">
        <f aca="false">IF(Data!$G78&lt;=75,Data!$A78,"")</f>
        <v>14</v>
      </c>
      <c r="G89" s="1" t="str">
        <f aca="false">IF(Data!$G78&gt;75,Data!$A78,"")</f>
        <v/>
      </c>
    </row>
    <row r="90" customFormat="false" ht="15" hidden="false" customHeight="true" outlineLevel="0" collapsed="false">
      <c r="F90" s="21" t="n">
        <f aca="false">IF(Data!$G79&lt;=75,Data!$A79,"")</f>
        <v>18</v>
      </c>
      <c r="G90" s="1" t="str">
        <f aca="false">IF(Data!$G79&gt;75,Data!$A79,"")</f>
        <v/>
      </c>
    </row>
    <row r="91" customFormat="false" ht="15" hidden="false" customHeight="true" outlineLevel="0" collapsed="false">
      <c r="F91" s="21" t="n">
        <f aca="false">IF(Data!$G80&lt;=75,Data!$A80,"")</f>
        <v>22</v>
      </c>
      <c r="G91" s="1" t="str">
        <f aca="false">IF(Data!$G80&gt;75,Data!$A80,"")</f>
        <v/>
      </c>
    </row>
    <row r="92" customFormat="false" ht="15" hidden="false" customHeight="true" outlineLevel="0" collapsed="false">
      <c r="F92" s="21" t="n">
        <f aca="false">IF(Data!$G81&lt;=75,Data!$A81,"")</f>
        <v>21</v>
      </c>
      <c r="G92" s="1" t="str">
        <f aca="false">IF(Data!$G81&gt;75,Data!$A81,"")</f>
        <v/>
      </c>
    </row>
    <row r="93" customFormat="false" ht="15" hidden="false" customHeight="true" outlineLevel="0" collapsed="false">
      <c r="F93" s="21" t="n">
        <f aca="false">IF(Data!$G82&lt;=75,Data!$A82,"")</f>
        <v>26</v>
      </c>
      <c r="G93" s="1" t="str">
        <f aca="false">IF(Data!$G82&gt;75,Data!$A82,"")</f>
        <v/>
      </c>
    </row>
    <row r="94" customFormat="false" ht="15" hidden="false" customHeight="true" outlineLevel="0" collapsed="false">
      <c r="F94" s="21" t="n">
        <f aca="false">IF(Data!$G83&lt;=75,Data!$A83,"")</f>
        <v>22</v>
      </c>
      <c r="G94" s="1" t="str">
        <f aca="false">IF(Data!$G83&gt;75,Data!$A83,"")</f>
        <v/>
      </c>
    </row>
    <row r="95" customFormat="false" ht="15" hidden="false" customHeight="true" outlineLevel="0" collapsed="false">
      <c r="F95" s="21" t="n">
        <f aca="false">IF(Data!$G84&lt;=75,Data!$A84,"")</f>
        <v>28</v>
      </c>
      <c r="G95" s="1" t="str">
        <f aca="false">IF(Data!$G84&gt;75,Data!$A84,"")</f>
        <v/>
      </c>
    </row>
    <row r="96" customFormat="false" ht="15" hidden="false" customHeight="true" outlineLevel="0" collapsed="false">
      <c r="F96" s="21" t="n">
        <f aca="false">IF(Data!$G85&lt;=75,Data!$A85,"")</f>
        <v>23</v>
      </c>
      <c r="G96" s="1" t="str">
        <f aca="false">IF(Data!$G85&gt;75,Data!$A85,"")</f>
        <v/>
      </c>
    </row>
    <row r="97" customFormat="false" ht="15" hidden="false" customHeight="true" outlineLevel="0" collapsed="false">
      <c r="F97" s="21" t="n">
        <f aca="false">IF(Data!$G86&lt;=75,Data!$A86,"")</f>
        <v>28</v>
      </c>
      <c r="G97" s="1" t="str">
        <f aca="false">IF(Data!$G86&gt;75,Data!$A86,"")</f>
        <v/>
      </c>
    </row>
    <row r="98" customFormat="false" ht="15" hidden="false" customHeight="true" outlineLevel="0" collapsed="false">
      <c r="F98" s="21" t="n">
        <f aca="false">IF(Data!$G87&lt;=75,Data!$A87,"")</f>
        <v>27</v>
      </c>
      <c r="G98" s="1" t="str">
        <f aca="false">IF(Data!$G87&gt;75,Data!$A87,"")</f>
        <v/>
      </c>
    </row>
    <row r="99" customFormat="false" ht="15" hidden="false" customHeight="true" outlineLevel="0" collapsed="false">
      <c r="F99" s="21" t="n">
        <f aca="false">IF(Data!$G88&lt;=75,Data!$A88,"")</f>
        <v>13</v>
      </c>
      <c r="G99" s="1" t="str">
        <f aca="false">IF(Data!$G88&gt;75,Data!$A88,"")</f>
        <v/>
      </c>
    </row>
    <row r="100" customFormat="false" ht="15" hidden="false" customHeight="true" outlineLevel="0" collapsed="false">
      <c r="F100" s="21" t="n">
        <f aca="false">IF(Data!$G89&lt;=75,Data!$A89,"")</f>
        <v>14</v>
      </c>
      <c r="G100" s="1" t="str">
        <f aca="false">IF(Data!$G89&gt;75,Data!$A89,"")</f>
        <v/>
      </c>
    </row>
    <row r="101" customFormat="false" ht="15" hidden="false" customHeight="true" outlineLevel="0" collapsed="false">
      <c r="F101" s="21" t="n">
        <f aca="false">IF(Data!$G90&lt;=75,Data!$A90,"")</f>
        <v>13</v>
      </c>
      <c r="G101" s="1" t="str">
        <f aca="false">IF(Data!$G90&gt;75,Data!$A90,"")</f>
        <v/>
      </c>
    </row>
    <row r="102" customFormat="false" ht="15" hidden="false" customHeight="true" outlineLevel="0" collapsed="false">
      <c r="F102" s="21" t="n">
        <f aca="false">IF(Data!$G91&lt;=75,Data!$A91,"")</f>
        <v>14</v>
      </c>
      <c r="G102" s="1" t="str">
        <f aca="false">IF(Data!$G91&gt;75,Data!$A91,"")</f>
        <v/>
      </c>
    </row>
    <row r="103" customFormat="false" ht="15" hidden="false" customHeight="true" outlineLevel="0" collapsed="false">
      <c r="F103" s="21" t="n">
        <f aca="false">IF(Data!$G92&lt;=75,Data!$A92,"")</f>
        <v>15</v>
      </c>
      <c r="G103" s="1" t="str">
        <f aca="false">IF(Data!$G92&gt;75,Data!$A92,"")</f>
        <v/>
      </c>
    </row>
    <row r="104" customFormat="false" ht="15" hidden="false" customHeight="true" outlineLevel="0" collapsed="false">
      <c r="F104" s="21" t="n">
        <f aca="false">IF(Data!$G93&lt;=75,Data!$A93,"")</f>
        <v>12</v>
      </c>
      <c r="G104" s="1" t="str">
        <f aca="false">IF(Data!$G93&gt;75,Data!$A93,"")</f>
        <v/>
      </c>
    </row>
    <row r="105" customFormat="false" ht="15" hidden="false" customHeight="true" outlineLevel="0" collapsed="false">
      <c r="F105" s="21" t="n">
        <f aca="false">IF(Data!$G94&lt;=75,Data!$A94,"")</f>
        <v>13</v>
      </c>
      <c r="G105" s="1" t="str">
        <f aca="false">IF(Data!$G94&gt;75,Data!$A94,"")</f>
        <v/>
      </c>
    </row>
    <row r="106" customFormat="false" ht="15" hidden="false" customHeight="true" outlineLevel="0" collapsed="false">
      <c r="F106" s="21" t="n">
        <f aca="false">IF(Data!$G95&lt;=75,Data!$A95,"")</f>
        <v>13</v>
      </c>
      <c r="G106" s="1" t="str">
        <f aca="false">IF(Data!$G95&gt;75,Data!$A95,"")</f>
        <v/>
      </c>
    </row>
    <row r="107" customFormat="false" ht="15" hidden="false" customHeight="true" outlineLevel="0" collapsed="false">
      <c r="F107" s="21" t="n">
        <f aca="false">IF(Data!$G96&lt;=75,Data!$A96,"")</f>
        <v>14</v>
      </c>
      <c r="G107" s="1" t="str">
        <f aca="false">IF(Data!$G96&gt;75,Data!$A96,"")</f>
        <v/>
      </c>
    </row>
    <row r="108" customFormat="false" ht="15" hidden="false" customHeight="true" outlineLevel="0" collapsed="false">
      <c r="F108" s="21" t="n">
        <f aca="false">IF(Data!$G97&lt;=75,Data!$A97,"")</f>
        <v>13</v>
      </c>
      <c r="G108" s="1" t="str">
        <f aca="false">IF(Data!$G97&gt;75,Data!$A97,"")</f>
        <v/>
      </c>
    </row>
    <row r="109" customFormat="false" ht="15" hidden="false" customHeight="true" outlineLevel="0" collapsed="false">
      <c r="F109" s="21" t="n">
        <f aca="false">IF(Data!$G98&lt;=75,Data!$A98,"")</f>
        <v>12</v>
      </c>
      <c r="G109" s="1" t="str">
        <f aca="false">IF(Data!$G98&gt;75,Data!$A98,"")</f>
        <v/>
      </c>
    </row>
    <row r="110" customFormat="false" ht="15" hidden="false" customHeight="true" outlineLevel="0" collapsed="false">
      <c r="F110" s="21" t="n">
        <f aca="false">IF(Data!$G99&lt;=75,Data!$A99,"")</f>
        <v>13</v>
      </c>
      <c r="G110" s="1" t="str">
        <f aca="false">IF(Data!$G99&gt;75,Data!$A99,"")</f>
        <v/>
      </c>
    </row>
    <row r="111" customFormat="false" ht="15" hidden="false" customHeight="true" outlineLevel="0" collapsed="false">
      <c r="F111" s="21" t="n">
        <f aca="false">IF(Data!$G100&lt;=75,Data!$A100,"")</f>
        <v>18</v>
      </c>
      <c r="G111" s="1" t="str">
        <f aca="false">IF(Data!$G100&gt;75,Data!$A100,"")</f>
        <v/>
      </c>
    </row>
    <row r="112" customFormat="false" ht="15" hidden="false" customHeight="true" outlineLevel="0" collapsed="false">
      <c r="F112" s="21" t="n">
        <f aca="false">IF(Data!$G101&lt;=75,Data!$A101,"")</f>
        <v>16</v>
      </c>
      <c r="G112" s="1" t="str">
        <f aca="false">IF(Data!$G101&gt;75,Data!$A101,"")</f>
        <v/>
      </c>
    </row>
    <row r="113" customFormat="false" ht="15" hidden="false" customHeight="true" outlineLevel="0" collapsed="false">
      <c r="F113" s="21" t="n">
        <f aca="false">IF(Data!$G102&lt;=75,Data!$A102,"")</f>
        <v>18</v>
      </c>
      <c r="G113" s="1" t="str">
        <f aca="false">IF(Data!$G102&gt;75,Data!$A102,"")</f>
        <v/>
      </c>
    </row>
    <row r="114" customFormat="false" ht="15" hidden="false" customHeight="true" outlineLevel="0" collapsed="false">
      <c r="F114" s="21" t="n">
        <f aca="false">IF(Data!$G103&lt;=75,Data!$A103,"")</f>
        <v>18</v>
      </c>
      <c r="G114" s="1" t="str">
        <f aca="false">IF(Data!$G103&gt;75,Data!$A103,"")</f>
        <v/>
      </c>
    </row>
    <row r="115" customFormat="false" ht="15" hidden="false" customHeight="true" outlineLevel="0" collapsed="false">
      <c r="F115" s="21" t="n">
        <f aca="false">IF(Data!$G104&lt;=75,Data!$A104,"")</f>
        <v>23</v>
      </c>
      <c r="G115" s="1" t="str">
        <f aca="false">IF(Data!$G104&gt;75,Data!$A104,"")</f>
        <v/>
      </c>
    </row>
    <row r="116" customFormat="false" ht="15" hidden="false" customHeight="true" outlineLevel="0" collapsed="false">
      <c r="F116" s="21" t="n">
        <f aca="false">IF(Data!$G105&lt;=75,Data!$A105,"")</f>
        <v>26</v>
      </c>
      <c r="G116" s="1" t="str">
        <f aca="false">IF(Data!$G105&gt;75,Data!$A105,"")</f>
        <v/>
      </c>
    </row>
    <row r="117" customFormat="false" ht="15" hidden="false" customHeight="true" outlineLevel="0" collapsed="false">
      <c r="F117" s="21" t="n">
        <f aca="false">IF(Data!$G106&lt;=75,Data!$A106,"")</f>
        <v>11</v>
      </c>
      <c r="G117" s="1" t="str">
        <f aca="false">IF(Data!$G106&gt;75,Data!$A106,"")</f>
        <v/>
      </c>
    </row>
    <row r="118" customFormat="false" ht="15" hidden="false" customHeight="true" outlineLevel="0" collapsed="false">
      <c r="F118" s="21" t="n">
        <f aca="false">IF(Data!$G107&lt;=75,Data!$A107,"")</f>
        <v>12</v>
      </c>
      <c r="G118" s="1" t="str">
        <f aca="false">IF(Data!$G107&gt;75,Data!$A107,"")</f>
        <v/>
      </c>
    </row>
    <row r="119" customFormat="false" ht="15" hidden="false" customHeight="true" outlineLevel="0" collapsed="false">
      <c r="F119" s="21" t="n">
        <f aca="false">IF(Data!$G108&lt;=75,Data!$A108,"")</f>
        <v>13</v>
      </c>
      <c r="G119" s="1" t="str">
        <f aca="false">IF(Data!$G108&gt;75,Data!$A108,"")</f>
        <v/>
      </c>
    </row>
    <row r="120" customFormat="false" ht="15" hidden="false" customHeight="true" outlineLevel="0" collapsed="false">
      <c r="F120" s="21" t="n">
        <f aca="false">IF(Data!$G109&lt;=75,Data!$A109,"")</f>
        <v>12</v>
      </c>
      <c r="G120" s="1" t="str">
        <f aca="false">IF(Data!$G109&gt;75,Data!$A109,"")</f>
        <v/>
      </c>
    </row>
    <row r="121" customFormat="false" ht="15" hidden="false" customHeight="true" outlineLevel="0" collapsed="false">
      <c r="F121" s="21" t="n">
        <f aca="false">IF(Data!$G110&lt;=75,Data!$A110,"")</f>
        <v>18</v>
      </c>
      <c r="G121" s="1" t="str">
        <f aca="false">IF(Data!$G110&gt;75,Data!$A110,"")</f>
        <v/>
      </c>
    </row>
    <row r="122" customFormat="false" ht="15" hidden="false" customHeight="true" outlineLevel="0" collapsed="false">
      <c r="F122" s="21" t="n">
        <f aca="false">IF(Data!$G111&lt;=75,Data!$A111,"")</f>
        <v>20</v>
      </c>
      <c r="G122" s="1" t="str">
        <f aca="false">IF(Data!$G111&gt;75,Data!$A111,"")</f>
        <v/>
      </c>
    </row>
    <row r="123" customFormat="false" ht="15" hidden="false" customHeight="true" outlineLevel="0" collapsed="false">
      <c r="F123" s="21" t="n">
        <f aca="false">IF(Data!$G112&lt;=75,Data!$A112,"")</f>
        <v>21</v>
      </c>
      <c r="G123" s="1" t="str">
        <f aca="false">IF(Data!$G112&gt;75,Data!$A112,"")</f>
        <v/>
      </c>
    </row>
    <row r="124" customFormat="false" ht="15" hidden="false" customHeight="true" outlineLevel="0" collapsed="false">
      <c r="F124" s="21" t="n">
        <f aca="false">IF(Data!$G113&lt;=75,Data!$A113,"")</f>
        <v>22</v>
      </c>
      <c r="G124" s="1" t="str">
        <f aca="false">IF(Data!$G113&gt;75,Data!$A113,"")</f>
        <v/>
      </c>
    </row>
    <row r="125" customFormat="false" ht="15" hidden="false" customHeight="true" outlineLevel="0" collapsed="false">
      <c r="F125" s="21" t="n">
        <f aca="false">IF(Data!$G114&lt;=75,Data!$A114,"")</f>
        <v>18</v>
      </c>
      <c r="G125" s="1" t="str">
        <f aca="false">IF(Data!$G114&gt;75,Data!$A114,"")</f>
        <v/>
      </c>
    </row>
    <row r="126" customFormat="false" ht="15" hidden="false" customHeight="true" outlineLevel="0" collapsed="false">
      <c r="F126" s="21" t="n">
        <f aca="false">IF(Data!$G115&lt;=75,Data!$A115,"")</f>
        <v>19</v>
      </c>
      <c r="G126" s="1" t="str">
        <f aca="false">IF(Data!$G115&gt;75,Data!$A115,"")</f>
        <v/>
      </c>
    </row>
    <row r="127" customFormat="false" ht="15" hidden="false" customHeight="true" outlineLevel="0" collapsed="false">
      <c r="F127" s="21" t="n">
        <f aca="false">IF(Data!$G116&lt;=75,Data!$A116,"")</f>
        <v>21</v>
      </c>
      <c r="G127" s="1" t="str">
        <f aca="false">IF(Data!$G116&gt;75,Data!$A116,"")</f>
        <v/>
      </c>
    </row>
    <row r="128" customFormat="false" ht="15" hidden="false" customHeight="true" outlineLevel="0" collapsed="false">
      <c r="F128" s="21" t="n">
        <f aca="false">IF(Data!$G117&lt;=75,Data!$A117,"")</f>
        <v>26</v>
      </c>
      <c r="G128" s="1" t="str">
        <f aca="false">IF(Data!$G117&gt;75,Data!$A117,"")</f>
        <v/>
      </c>
    </row>
    <row r="129" customFormat="false" ht="15" hidden="false" customHeight="true" outlineLevel="0" collapsed="false">
      <c r="F129" s="21" t="n">
        <f aca="false">IF(Data!$G118&lt;=75,Data!$A118,"")</f>
        <v>15</v>
      </c>
      <c r="G129" s="1" t="str">
        <f aca="false">IF(Data!$G118&gt;75,Data!$A118,"")</f>
        <v/>
      </c>
    </row>
    <row r="130" customFormat="false" ht="15" hidden="false" customHeight="true" outlineLevel="0" collapsed="false">
      <c r="F130" s="21" t="n">
        <f aca="false">IF(Data!$G119&lt;=75,Data!$A119,"")</f>
        <v>16</v>
      </c>
      <c r="G130" s="1" t="str">
        <f aca="false">IF(Data!$G119&gt;75,Data!$A119,"")</f>
        <v/>
      </c>
    </row>
    <row r="131" customFormat="false" ht="15" hidden="false" customHeight="true" outlineLevel="0" collapsed="false">
      <c r="F131" s="21" t="n">
        <f aca="false">IF(Data!$G120&lt;=75,Data!$A120,"")</f>
        <v>29</v>
      </c>
      <c r="G131" s="1" t="str">
        <f aca="false">IF(Data!$G120&gt;75,Data!$A120,"")</f>
        <v/>
      </c>
    </row>
    <row r="132" customFormat="false" ht="15" hidden="false" customHeight="true" outlineLevel="0" collapsed="false">
      <c r="F132" s="21" t="n">
        <f aca="false">IF(Data!$G121&lt;=75,Data!$A121,"")</f>
        <v>24</v>
      </c>
      <c r="G132" s="1" t="str">
        <f aca="false">IF(Data!$G121&gt;75,Data!$A121,"")</f>
        <v/>
      </c>
    </row>
    <row r="133" customFormat="false" ht="15" hidden="false" customHeight="true" outlineLevel="0" collapsed="false">
      <c r="F133" s="21" t="n">
        <f aca="false">IF(Data!$G122&lt;=75,Data!$A122,"")</f>
        <v>20</v>
      </c>
      <c r="G133" s="1" t="str">
        <f aca="false">IF(Data!$G122&gt;75,Data!$A122,"")</f>
        <v/>
      </c>
    </row>
    <row r="134" customFormat="false" ht="15" hidden="false" customHeight="true" outlineLevel="0" collapsed="false">
      <c r="F134" s="21" t="n">
        <f aca="false">IF(Data!$G123&lt;=75,Data!$A123,"")</f>
        <v>19</v>
      </c>
      <c r="G134" s="1" t="str">
        <f aca="false">IF(Data!$G123&gt;75,Data!$A123,"")</f>
        <v/>
      </c>
    </row>
    <row r="135" customFormat="false" ht="15" hidden="false" customHeight="true" outlineLevel="0" collapsed="false">
      <c r="F135" s="21" t="n">
        <f aca="false">IF(Data!$G124&lt;=75,Data!$A124,"")</f>
        <v>15</v>
      </c>
      <c r="G135" s="1" t="str">
        <f aca="false">IF(Data!$G124&gt;75,Data!$A124,"")</f>
        <v/>
      </c>
    </row>
    <row r="136" customFormat="false" ht="15" hidden="false" customHeight="true" outlineLevel="0" collapsed="false">
      <c r="F136" s="21" t="n">
        <f aca="false">IF(Data!$G125&lt;=75,Data!$A125,"")</f>
        <v>24</v>
      </c>
      <c r="G136" s="1" t="str">
        <f aca="false">IF(Data!$G125&gt;75,Data!$A125,"")</f>
        <v/>
      </c>
    </row>
    <row r="137" customFormat="false" ht="15" hidden="false" customHeight="true" outlineLevel="0" collapsed="false">
      <c r="F137" s="21" t="n">
        <f aca="false">IF(Data!$G126&lt;=75,Data!$A126,"")</f>
        <v>20</v>
      </c>
      <c r="G137" s="1" t="str">
        <f aca="false">IF(Data!$G126&gt;75,Data!$A126,"")</f>
        <v/>
      </c>
    </row>
    <row r="138" customFormat="false" ht="15" hidden="false" customHeight="true" outlineLevel="0" collapsed="false">
      <c r="F138" s="21" t="n">
        <f aca="false">IF(Data!$G127&lt;=75,Data!$A127,"")</f>
        <v>11</v>
      </c>
      <c r="G138" s="1" t="str">
        <f aca="false">IF(Data!$G127&gt;75,Data!$A127,"")</f>
        <v/>
      </c>
    </row>
    <row r="139" customFormat="false" ht="15" hidden="false" customHeight="true" outlineLevel="0" collapsed="false">
      <c r="F139" s="21" t="n">
        <f aca="false">IF(Data!$G128&lt;=75,Data!$A128,"")</f>
        <v>20</v>
      </c>
      <c r="G139" s="1" t="str">
        <f aca="false">IF(Data!$G128&gt;75,Data!$A128,"")</f>
        <v/>
      </c>
    </row>
    <row r="140" customFormat="false" ht="15" hidden="false" customHeight="true" outlineLevel="0" collapsed="false">
      <c r="F140" s="21" t="n">
        <f aca="false">IF(Data!$G129&lt;=75,Data!$A129,"")</f>
        <v>21</v>
      </c>
      <c r="G140" s="1" t="str">
        <f aca="false">IF(Data!$G129&gt;75,Data!$A129,"")</f>
        <v/>
      </c>
    </row>
    <row r="141" customFormat="false" ht="15" hidden="false" customHeight="true" outlineLevel="0" collapsed="false">
      <c r="F141" s="21" t="n">
        <f aca="false">IF(Data!$G130&lt;=75,Data!$A130,"")</f>
        <v>19</v>
      </c>
      <c r="G141" s="1" t="str">
        <f aca="false">IF(Data!$G130&gt;75,Data!$A130,"")</f>
        <v/>
      </c>
    </row>
    <row r="142" customFormat="false" ht="15" hidden="false" customHeight="true" outlineLevel="0" collapsed="false">
      <c r="F142" s="21" t="n">
        <f aca="false">IF(Data!$G131&lt;=75,Data!$A131,"")</f>
        <v>15</v>
      </c>
      <c r="G142" s="1" t="str">
        <f aca="false">IF(Data!$G131&gt;75,Data!$A131,"")</f>
        <v/>
      </c>
    </row>
    <row r="143" customFormat="false" ht="15" hidden="false" customHeight="true" outlineLevel="0" collapsed="false">
      <c r="F143" s="21" t="n">
        <f aca="false">IF(Data!$G132&lt;=75,Data!$A132,"")</f>
        <v>31</v>
      </c>
      <c r="G143" s="1" t="str">
        <f aca="false">IF(Data!$G132&gt;75,Data!$A132,"")</f>
        <v/>
      </c>
    </row>
    <row r="144" customFormat="false" ht="15" hidden="false" customHeight="true" outlineLevel="0" collapsed="false">
      <c r="F144" s="21" t="n">
        <f aca="false">IF(Data!$G133&lt;=75,Data!$A133,"")</f>
        <v>26</v>
      </c>
      <c r="G144" s="1" t="str">
        <f aca="false">IF(Data!$G133&gt;75,Data!$A133,"")</f>
        <v/>
      </c>
    </row>
    <row r="145" customFormat="false" ht="15" hidden="false" customHeight="true" outlineLevel="0" collapsed="false">
      <c r="F145" s="21" t="n">
        <f aca="false">IF(Data!$G134&lt;=75,Data!$A134,"")</f>
        <v>32</v>
      </c>
      <c r="G145" s="1" t="str">
        <f aca="false">IF(Data!$G134&gt;75,Data!$A134,"")</f>
        <v/>
      </c>
    </row>
    <row r="146" customFormat="false" ht="15" hidden="false" customHeight="true" outlineLevel="0" collapsed="false">
      <c r="F146" s="21" t="n">
        <f aca="false">IF(Data!$G135&lt;=75,Data!$A135,"")</f>
        <v>25</v>
      </c>
      <c r="G146" s="1" t="str">
        <f aca="false">IF(Data!$G135&gt;75,Data!$A135,"")</f>
        <v/>
      </c>
    </row>
    <row r="147" customFormat="false" ht="15" hidden="false" customHeight="true" outlineLevel="0" collapsed="false">
      <c r="F147" s="21" t="n">
        <f aca="false">IF(Data!$G136&lt;=75,Data!$A136,"")</f>
        <v>16</v>
      </c>
      <c r="G147" s="1" t="str">
        <f aca="false">IF(Data!$G136&gt;75,Data!$A136,"")</f>
        <v/>
      </c>
    </row>
    <row r="148" customFormat="false" ht="15" hidden="false" customHeight="true" outlineLevel="0" collapsed="false">
      <c r="F148" s="21" t="n">
        <f aca="false">IF(Data!$G137&lt;=75,Data!$A137,"")</f>
        <v>16</v>
      </c>
      <c r="G148" s="1" t="str">
        <f aca="false">IF(Data!$G137&gt;75,Data!$A137,"")</f>
        <v/>
      </c>
    </row>
    <row r="149" customFormat="false" ht="15" hidden="false" customHeight="true" outlineLevel="0" collapsed="false">
      <c r="F149" s="21" t="n">
        <f aca="false">IF(Data!$G138&lt;=75,Data!$A138,"")</f>
        <v>18</v>
      </c>
      <c r="G149" s="1" t="str">
        <f aca="false">IF(Data!$G138&gt;75,Data!$A138,"")</f>
        <v/>
      </c>
    </row>
    <row r="150" customFormat="false" ht="15" hidden="false" customHeight="true" outlineLevel="0" collapsed="false">
      <c r="F150" s="21" t="n">
        <f aca="false">IF(Data!$G139&lt;=75,Data!$A139,"")</f>
        <v>16</v>
      </c>
      <c r="G150" s="1" t="str">
        <f aca="false">IF(Data!$G139&gt;75,Data!$A139,"")</f>
        <v/>
      </c>
    </row>
    <row r="151" customFormat="false" ht="15" hidden="false" customHeight="true" outlineLevel="0" collapsed="false">
      <c r="F151" s="21" t="n">
        <f aca="false">IF(Data!$G140&lt;=75,Data!$A140,"")</f>
        <v>13</v>
      </c>
      <c r="G151" s="1" t="str">
        <f aca="false">IF(Data!$G140&gt;75,Data!$A140,"")</f>
        <v/>
      </c>
    </row>
    <row r="152" customFormat="false" ht="15" hidden="false" customHeight="true" outlineLevel="0" collapsed="false">
      <c r="F152" s="21" t="n">
        <f aca="false">IF(Data!$G141&lt;=75,Data!$A141,"")</f>
        <v>14</v>
      </c>
      <c r="G152" s="1" t="str">
        <f aca="false">IF(Data!$G141&gt;75,Data!$A141,"")</f>
        <v/>
      </c>
    </row>
    <row r="153" customFormat="false" ht="15" hidden="false" customHeight="true" outlineLevel="0" collapsed="false">
      <c r="F153" s="21" t="n">
        <f aca="false">IF(Data!$G142&lt;=75,Data!$A142,"")</f>
        <v>14</v>
      </c>
      <c r="G153" s="1" t="str">
        <f aca="false">IF(Data!$G142&gt;75,Data!$A142,"")</f>
        <v/>
      </c>
    </row>
    <row r="154" customFormat="false" ht="15" hidden="false" customHeight="true" outlineLevel="0" collapsed="false">
      <c r="F154" s="21" t="n">
        <f aca="false">IF(Data!$G143&lt;=75,Data!$A143,"")</f>
        <v>14</v>
      </c>
      <c r="G154" s="1" t="str">
        <f aca="false">IF(Data!$G143&gt;75,Data!$A143,"")</f>
        <v/>
      </c>
    </row>
    <row r="155" customFormat="false" ht="15" hidden="false" customHeight="true" outlineLevel="0" collapsed="false">
      <c r="F155" s="21" t="n">
        <f aca="false">IF(Data!$G144&lt;=75,Data!$A144,"")</f>
        <v>29</v>
      </c>
      <c r="G155" s="1" t="str">
        <f aca="false">IF(Data!$G144&gt;75,Data!$A144,"")</f>
        <v/>
      </c>
    </row>
    <row r="156" customFormat="false" ht="15" hidden="false" customHeight="true" outlineLevel="0" collapsed="false">
      <c r="F156" s="21" t="n">
        <f aca="false">IF(Data!$G145&lt;=75,Data!$A145,"")</f>
        <v>26</v>
      </c>
      <c r="G156" s="1" t="str">
        <f aca="false">IF(Data!$G145&gt;75,Data!$A145,"")</f>
        <v/>
      </c>
    </row>
    <row r="157" customFormat="false" ht="15" hidden="false" customHeight="true" outlineLevel="0" collapsed="false">
      <c r="F157" s="21" t="n">
        <f aca="false">IF(Data!$G146&lt;=75,Data!$A146,"")</f>
        <v>26</v>
      </c>
      <c r="G157" s="1" t="str">
        <f aca="false">IF(Data!$G146&gt;75,Data!$A146,"")</f>
        <v/>
      </c>
    </row>
    <row r="158" customFormat="false" ht="15" hidden="false" customHeight="true" outlineLevel="0" collapsed="false">
      <c r="F158" s="21" t="n">
        <f aca="false">IF(Data!$G147&lt;=75,Data!$A147,"")</f>
        <v>31</v>
      </c>
      <c r="G158" s="1" t="str">
        <f aca="false">IF(Data!$G147&gt;75,Data!$A147,"")</f>
        <v/>
      </c>
    </row>
    <row r="159" customFormat="false" ht="15" hidden="false" customHeight="true" outlineLevel="0" collapsed="false">
      <c r="F159" s="21" t="n">
        <f aca="false">IF(Data!$G148&lt;=75,Data!$A148,"")</f>
        <v>32</v>
      </c>
      <c r="G159" s="1" t="str">
        <f aca="false">IF(Data!$G148&gt;75,Data!$A148,"")</f>
        <v/>
      </c>
    </row>
    <row r="160" customFormat="false" ht="15" hidden="false" customHeight="true" outlineLevel="0" collapsed="false">
      <c r="F160" s="21" t="n">
        <f aca="false">IF(Data!$G149&lt;=75,Data!$A149,"")</f>
        <v>28</v>
      </c>
      <c r="G160" s="1" t="str">
        <f aca="false">IF(Data!$G149&gt;75,Data!$A149,"")</f>
        <v/>
      </c>
    </row>
    <row r="161" customFormat="false" ht="15" hidden="false" customHeight="true" outlineLevel="0" collapsed="false">
      <c r="F161" s="21" t="n">
        <f aca="false">IF(Data!$G150&lt;=75,Data!$A150,"")</f>
        <v>24</v>
      </c>
      <c r="G161" s="1" t="str">
        <f aca="false">IF(Data!$G150&gt;75,Data!$A150,"")</f>
        <v/>
      </c>
    </row>
    <row r="162" customFormat="false" ht="15" hidden="false" customHeight="true" outlineLevel="0" collapsed="false">
      <c r="F162" s="21" t="n">
        <f aca="false">IF(Data!$G151&lt;=75,Data!$A151,"")</f>
        <v>26</v>
      </c>
      <c r="G162" s="1" t="str">
        <f aca="false">IF(Data!$G151&gt;75,Data!$A151,"")</f>
        <v/>
      </c>
    </row>
    <row r="163" customFormat="false" ht="15" hidden="false" customHeight="true" outlineLevel="0" collapsed="false">
      <c r="F163" s="21" t="n">
        <f aca="false">IF(Data!$G152&lt;=75,Data!$A152,"")</f>
        <v>24</v>
      </c>
      <c r="G163" s="1" t="str">
        <f aca="false">IF(Data!$G152&gt;75,Data!$A152,"")</f>
        <v/>
      </c>
    </row>
    <row r="164" customFormat="false" ht="15" hidden="false" customHeight="true" outlineLevel="0" collapsed="false">
      <c r="F164" s="21" t="n">
        <f aca="false">IF(Data!$G153&lt;=75,Data!$A153,"")</f>
        <v>26</v>
      </c>
      <c r="G164" s="1" t="str">
        <f aca="false">IF(Data!$G153&gt;75,Data!$A153,"")</f>
        <v/>
      </c>
    </row>
    <row r="165" customFormat="false" ht="15" hidden="false" customHeight="true" outlineLevel="0" collapsed="false">
      <c r="F165" s="21" t="n">
        <f aca="false">IF(Data!$G154&lt;=75,Data!$A154,"")</f>
        <v>31</v>
      </c>
      <c r="G165" s="1" t="str">
        <f aca="false">IF(Data!$G154&gt;75,Data!$A154,"")</f>
        <v/>
      </c>
    </row>
    <row r="166" customFormat="false" ht="15" hidden="false" customHeight="true" outlineLevel="0" collapsed="false">
      <c r="F166" s="21" t="n">
        <f aca="false">IF(Data!$G155&lt;=75,Data!$A155,"")</f>
        <v>19</v>
      </c>
      <c r="G166" s="1" t="str">
        <f aca="false">IF(Data!$G155&gt;75,Data!$A155,"")</f>
        <v/>
      </c>
    </row>
    <row r="167" customFormat="false" ht="15" hidden="false" customHeight="true" outlineLevel="0" collapsed="false">
      <c r="F167" s="21" t="n">
        <f aca="false">IF(Data!$G156&lt;=75,Data!$A156,"")</f>
        <v>18</v>
      </c>
      <c r="G167" s="1" t="str">
        <f aca="false">IF(Data!$G156&gt;75,Data!$A156,"")</f>
        <v/>
      </c>
    </row>
    <row r="168" customFormat="false" ht="15" hidden="false" customHeight="true" outlineLevel="0" collapsed="false">
      <c r="F168" s="21" t="n">
        <f aca="false">IF(Data!$G157&lt;=75,Data!$A157,"")</f>
        <v>15</v>
      </c>
      <c r="G168" s="1" t="str">
        <f aca="false">IF(Data!$G157&gt;75,Data!$A157,"")</f>
        <v/>
      </c>
    </row>
    <row r="169" customFormat="false" ht="15" hidden="false" customHeight="true" outlineLevel="0" collapsed="false">
      <c r="F169" s="21" t="n">
        <f aca="false">IF(Data!$G158&lt;=75,Data!$A158,"")</f>
        <v>15</v>
      </c>
      <c r="G169" s="1" t="str">
        <f aca="false">IF(Data!$G158&gt;75,Data!$A158,"")</f>
        <v/>
      </c>
    </row>
    <row r="170" customFormat="false" ht="15" hidden="false" customHeight="true" outlineLevel="0" collapsed="false">
      <c r="F170" s="21" t="n">
        <f aca="false">IF(Data!$G159&lt;=75,Data!$A159,"")</f>
        <v>16</v>
      </c>
      <c r="G170" s="1" t="str">
        <f aca="false">IF(Data!$G159&gt;75,Data!$A159,"")</f>
        <v/>
      </c>
    </row>
    <row r="171" customFormat="false" ht="15" hidden="false" customHeight="true" outlineLevel="0" collapsed="false">
      <c r="F171" s="21" t="n">
        <f aca="false">IF(Data!$G160&lt;=75,Data!$A160,"")</f>
        <v>15</v>
      </c>
      <c r="G171" s="1" t="str">
        <f aca="false">IF(Data!$G160&gt;75,Data!$A160,"")</f>
        <v/>
      </c>
    </row>
    <row r="172" customFormat="false" ht="15" hidden="false" customHeight="true" outlineLevel="0" collapsed="false">
      <c r="F172" s="21" t="n">
        <f aca="false">IF(Data!$G161&lt;=75,Data!$A161,"")</f>
        <v>16</v>
      </c>
      <c r="G172" s="1" t="str">
        <f aca="false">IF(Data!$G161&gt;75,Data!$A161,"")</f>
        <v/>
      </c>
    </row>
    <row r="173" customFormat="false" ht="15" hidden="false" customHeight="true" outlineLevel="0" collapsed="false">
      <c r="F173" s="21" t="n">
        <f aca="false">IF(Data!$G162&lt;=75,Data!$A162,"")</f>
        <v>14</v>
      </c>
      <c r="G173" s="1" t="str">
        <f aca="false">IF(Data!$G162&gt;75,Data!$A162,"")</f>
        <v/>
      </c>
    </row>
    <row r="174" customFormat="false" ht="15" hidden="false" customHeight="true" outlineLevel="0" collapsed="false">
      <c r="F174" s="21" t="n">
        <f aca="false">IF(Data!$G163&lt;=75,Data!$A163,"")</f>
        <v>17</v>
      </c>
      <c r="G174" s="1" t="str">
        <f aca="false">IF(Data!$G163&gt;75,Data!$A163,"")</f>
        <v/>
      </c>
    </row>
    <row r="175" customFormat="false" ht="15" hidden="false" customHeight="true" outlineLevel="0" collapsed="false">
      <c r="F175" s="21" t="n">
        <f aca="false">IF(Data!$G164&lt;=75,Data!$A164,"")</f>
        <v>16</v>
      </c>
      <c r="G175" s="1" t="str">
        <f aca="false">IF(Data!$G164&gt;75,Data!$A164,"")</f>
        <v/>
      </c>
    </row>
    <row r="176" customFormat="false" ht="15" hidden="false" customHeight="true" outlineLevel="0" collapsed="false">
      <c r="F176" s="21" t="n">
        <f aca="false">IF(Data!$G165&lt;=75,Data!$A165,"")</f>
        <v>15</v>
      </c>
      <c r="G176" s="1" t="str">
        <f aca="false">IF(Data!$G165&gt;75,Data!$A165,"")</f>
        <v/>
      </c>
    </row>
    <row r="177" customFormat="false" ht="15" hidden="false" customHeight="true" outlineLevel="0" collapsed="false">
      <c r="F177" s="21" t="n">
        <f aca="false">IF(Data!$G166&lt;=75,Data!$A166,"")</f>
        <v>18</v>
      </c>
      <c r="G177" s="1" t="str">
        <f aca="false">IF(Data!$G166&gt;75,Data!$A166,"")</f>
        <v/>
      </c>
    </row>
    <row r="178" customFormat="false" ht="15" hidden="false" customHeight="true" outlineLevel="0" collapsed="false">
      <c r="F178" s="21" t="n">
        <f aca="false">IF(Data!$G167&lt;=75,Data!$A167,"")</f>
        <v>21</v>
      </c>
      <c r="G178" s="1" t="str">
        <f aca="false">IF(Data!$G167&gt;75,Data!$A167,"")</f>
        <v/>
      </c>
    </row>
    <row r="179" customFormat="false" ht="15" hidden="false" customHeight="true" outlineLevel="0" collapsed="false">
      <c r="F179" s="21" t="n">
        <f aca="false">IF(Data!$G168&lt;=75,Data!$A168,"")</f>
        <v>20</v>
      </c>
      <c r="G179" s="1" t="str">
        <f aca="false">IF(Data!$G168&gt;75,Data!$A168,"")</f>
        <v/>
      </c>
    </row>
    <row r="180" customFormat="false" ht="15" hidden="false" customHeight="true" outlineLevel="0" collapsed="false">
      <c r="F180" s="21" t="n">
        <f aca="false">IF(Data!$G169&lt;=75,Data!$A169,"")</f>
        <v>13</v>
      </c>
      <c r="G180" s="1" t="str">
        <f aca="false">IF(Data!$G169&gt;75,Data!$A169,"")</f>
        <v/>
      </c>
    </row>
    <row r="181" customFormat="false" ht="15" hidden="false" customHeight="true" outlineLevel="0" collapsed="false">
      <c r="F181" s="21" t="n">
        <f aca="false">IF(Data!$G170&lt;=75,Data!$A170,"")</f>
        <v>29</v>
      </c>
      <c r="G181" s="1" t="str">
        <f aca="false">IF(Data!$G170&gt;75,Data!$A170,"")</f>
        <v/>
      </c>
    </row>
    <row r="182" customFormat="false" ht="15" hidden="false" customHeight="true" outlineLevel="0" collapsed="false">
      <c r="F182" s="21" t="n">
        <f aca="false">IF(Data!$G171&lt;=75,Data!$A171,"")</f>
        <v>23</v>
      </c>
      <c r="G182" s="1" t="str">
        <f aca="false">IF(Data!$G171&gt;75,Data!$A171,"")</f>
        <v/>
      </c>
    </row>
    <row r="183" customFormat="false" ht="15" hidden="false" customHeight="true" outlineLevel="0" collapsed="false">
      <c r="F183" s="21" t="n">
        <f aca="false">IF(Data!$G172&lt;=75,Data!$A172,"")</f>
        <v>20</v>
      </c>
      <c r="G183" s="1" t="str">
        <f aca="false">IF(Data!$G172&gt;75,Data!$A172,"")</f>
        <v/>
      </c>
    </row>
    <row r="184" customFormat="false" ht="15" hidden="false" customHeight="true" outlineLevel="0" collapsed="false">
      <c r="F184" s="21" t="n">
        <f aca="false">IF(Data!$G173&lt;=75,Data!$A173,"")</f>
        <v>23</v>
      </c>
      <c r="G184" s="1" t="str">
        <f aca="false">IF(Data!$G173&gt;75,Data!$A173,"")</f>
        <v/>
      </c>
    </row>
    <row r="185" customFormat="false" ht="15" hidden="false" customHeight="true" outlineLevel="0" collapsed="false">
      <c r="F185" s="21" t="n">
        <f aca="false">IF(Data!$G174&lt;=75,Data!$A174,"")</f>
        <v>24</v>
      </c>
      <c r="G185" s="1" t="str">
        <f aca="false">IF(Data!$G174&gt;75,Data!$A174,"")</f>
        <v/>
      </c>
    </row>
    <row r="186" customFormat="false" ht="15" hidden="false" customHeight="true" outlineLevel="0" collapsed="false">
      <c r="F186" s="21" t="n">
        <f aca="false">IF(Data!$G175&lt;=75,Data!$A175,"")</f>
        <v>25</v>
      </c>
      <c r="G186" s="1" t="str">
        <f aca="false">IF(Data!$G175&gt;75,Data!$A175,"")</f>
        <v/>
      </c>
    </row>
    <row r="187" customFormat="false" ht="15" hidden="false" customHeight="true" outlineLevel="0" collapsed="false">
      <c r="F187" s="21" t="n">
        <f aca="false">IF(Data!$G176&lt;=75,Data!$A176,"")</f>
        <v>24</v>
      </c>
      <c r="G187" s="1" t="str">
        <f aca="false">IF(Data!$G176&gt;75,Data!$A176,"")</f>
        <v/>
      </c>
    </row>
    <row r="188" customFormat="false" ht="15" hidden="false" customHeight="true" outlineLevel="0" collapsed="false">
      <c r="F188" s="21" t="n">
        <f aca="false">IF(Data!$G177&lt;=75,Data!$A177,"")</f>
        <v>18</v>
      </c>
      <c r="G188" s="1" t="str">
        <f aca="false">IF(Data!$G177&gt;75,Data!$A177,"")</f>
        <v/>
      </c>
    </row>
    <row r="189" customFormat="false" ht="15" hidden="false" customHeight="true" outlineLevel="0" collapsed="false">
      <c r="F189" s="21" t="n">
        <f aca="false">IF(Data!$G178&lt;=75,Data!$A178,"")</f>
        <v>29</v>
      </c>
      <c r="G189" s="1" t="str">
        <f aca="false">IF(Data!$G178&gt;75,Data!$A178,"")</f>
        <v/>
      </c>
    </row>
    <row r="190" customFormat="false" ht="15" hidden="false" customHeight="true" outlineLevel="0" collapsed="false">
      <c r="F190" s="21" t="n">
        <f aca="false">IF(Data!$G179&lt;=75,Data!$A179,"")</f>
        <v>19</v>
      </c>
      <c r="G190" s="1" t="str">
        <f aca="false">IF(Data!$G179&gt;75,Data!$A179,"")</f>
        <v/>
      </c>
    </row>
    <row r="191" customFormat="false" ht="15" hidden="false" customHeight="true" outlineLevel="0" collapsed="false">
      <c r="F191" s="21" t="n">
        <f aca="false">IF(Data!$G180&lt;=75,Data!$A180,"")</f>
        <v>23</v>
      </c>
      <c r="G191" s="1" t="str">
        <f aca="false">IF(Data!$G180&gt;75,Data!$A180,"")</f>
        <v/>
      </c>
    </row>
    <row r="192" customFormat="false" ht="15" hidden="false" customHeight="true" outlineLevel="0" collapsed="false">
      <c r="F192" s="21" t="n">
        <f aca="false">IF(Data!$G181&lt;=75,Data!$A181,"")</f>
        <v>23</v>
      </c>
      <c r="G192" s="1" t="str">
        <f aca="false">IF(Data!$G181&gt;75,Data!$A181,"")</f>
        <v/>
      </c>
    </row>
    <row r="193" customFormat="false" ht="15" hidden="false" customHeight="true" outlineLevel="0" collapsed="false">
      <c r="F193" s="21" t="n">
        <f aca="false">IF(Data!$G182&lt;=75,Data!$A182,"")</f>
        <v>22</v>
      </c>
      <c r="G193" s="1" t="str">
        <f aca="false">IF(Data!$G182&gt;75,Data!$A182,"")</f>
        <v/>
      </c>
    </row>
    <row r="194" customFormat="false" ht="15" hidden="false" customHeight="true" outlineLevel="0" collapsed="false">
      <c r="F194" s="21" t="n">
        <f aca="false">IF(Data!$G183&lt;=75,Data!$A183,"")</f>
        <v>25</v>
      </c>
      <c r="G194" s="1" t="str">
        <f aca="false">IF(Data!$G183&gt;75,Data!$A183,"")</f>
        <v/>
      </c>
    </row>
    <row r="195" customFormat="false" ht="15" hidden="false" customHeight="true" outlineLevel="0" collapsed="false">
      <c r="F195" s="21" t="n">
        <f aca="false">IF(Data!$G184&lt;=75,Data!$A184,"")</f>
        <v>33</v>
      </c>
      <c r="G195" s="1" t="str">
        <f aca="false">IF(Data!$G184&gt;75,Data!$A184,"")</f>
        <v/>
      </c>
    </row>
    <row r="196" customFormat="false" ht="15" hidden="false" customHeight="true" outlineLevel="0" collapsed="false">
      <c r="F196" s="1" t="str">
        <f aca="false">IF(Data!$G185&lt;=75,Data!$A185,"")</f>
        <v/>
      </c>
      <c r="G196" s="21" t="n">
        <f aca="false">IF(Data!$G185&gt;75,Data!$A185,"")</f>
        <v>28</v>
      </c>
    </row>
    <row r="197" customFormat="false" ht="15" hidden="false" customHeight="true" outlineLevel="0" collapsed="false">
      <c r="F197" s="1" t="str">
        <f aca="false">IF(Data!$G186&lt;=75,Data!$A186,"")</f>
        <v/>
      </c>
      <c r="G197" s="21" t="n">
        <f aca="false">IF(Data!$G186&gt;75,Data!$A186,"")</f>
        <v>25</v>
      </c>
    </row>
    <row r="198" customFormat="false" ht="15" hidden="false" customHeight="true" outlineLevel="0" collapsed="false">
      <c r="F198" s="1" t="str">
        <f aca="false">IF(Data!$G187&lt;=75,Data!$A187,"")</f>
        <v/>
      </c>
      <c r="G198" s="21" t="n">
        <f aca="false">IF(Data!$G187&gt;75,Data!$A187,"")</f>
        <v>25</v>
      </c>
    </row>
    <row r="199" customFormat="false" ht="15" hidden="false" customHeight="true" outlineLevel="0" collapsed="false">
      <c r="F199" s="1" t="str">
        <f aca="false">IF(Data!$G188&lt;=75,Data!$A188,"")</f>
        <v/>
      </c>
      <c r="G199" s="21" t="n">
        <f aca="false">IF(Data!$G188&gt;75,Data!$A188,"")</f>
        <v>26</v>
      </c>
    </row>
    <row r="200" customFormat="false" ht="15" hidden="false" customHeight="true" outlineLevel="0" collapsed="false">
      <c r="F200" s="1" t="str">
        <f aca="false">IF(Data!$G189&lt;=75,Data!$A189,"")</f>
        <v/>
      </c>
      <c r="G200" s="21" t="n">
        <f aca="false">IF(Data!$G189&gt;75,Data!$A189,"")</f>
        <v>27</v>
      </c>
    </row>
    <row r="201" customFormat="false" ht="15" hidden="false" customHeight="true" outlineLevel="0" collapsed="false">
      <c r="F201" s="1" t="str">
        <f aca="false">IF(Data!$G190&lt;=75,Data!$A190,"")</f>
        <v/>
      </c>
      <c r="G201" s="21" t="n">
        <f aca="false">IF(Data!$G190&gt;75,Data!$A190,"")</f>
        <v>17.5</v>
      </c>
    </row>
    <row r="202" customFormat="false" ht="15" hidden="false" customHeight="true" outlineLevel="0" collapsed="false">
      <c r="F202" s="1" t="str">
        <f aca="false">IF(Data!$G191&lt;=75,Data!$A191,"")</f>
        <v/>
      </c>
      <c r="G202" s="21" t="n">
        <f aca="false">IF(Data!$G191&gt;75,Data!$A191,"")</f>
        <v>16</v>
      </c>
    </row>
    <row r="203" customFormat="false" ht="15" hidden="false" customHeight="true" outlineLevel="0" collapsed="false">
      <c r="F203" s="1" t="str">
        <f aca="false">IF(Data!$G192&lt;=75,Data!$A192,"")</f>
        <v/>
      </c>
      <c r="G203" s="21" t="n">
        <f aca="false">IF(Data!$G192&gt;75,Data!$A192,"")</f>
        <v>15.5</v>
      </c>
    </row>
    <row r="204" customFormat="false" ht="15" hidden="false" customHeight="true" outlineLevel="0" collapsed="false">
      <c r="F204" s="1" t="str">
        <f aca="false">IF(Data!$G193&lt;=75,Data!$A193,"")</f>
        <v/>
      </c>
      <c r="G204" s="21" t="n">
        <f aca="false">IF(Data!$G193&gt;75,Data!$A193,"")</f>
        <v>14.5</v>
      </c>
    </row>
    <row r="205" customFormat="false" ht="15" hidden="false" customHeight="true" outlineLevel="0" collapsed="false">
      <c r="F205" s="1" t="str">
        <f aca="false">IF(Data!$G194&lt;=75,Data!$A194,"")</f>
        <v/>
      </c>
      <c r="G205" s="21" t="n">
        <f aca="false">IF(Data!$G194&gt;75,Data!$A194,"")</f>
        <v>22</v>
      </c>
    </row>
    <row r="206" customFormat="false" ht="15" hidden="false" customHeight="true" outlineLevel="0" collapsed="false">
      <c r="F206" s="1" t="str">
        <f aca="false">IF(Data!$G195&lt;=75,Data!$A195,"")</f>
        <v/>
      </c>
      <c r="G206" s="21" t="n">
        <f aca="false">IF(Data!$G195&gt;75,Data!$A195,"")</f>
        <v>22</v>
      </c>
    </row>
    <row r="207" customFormat="false" ht="15" hidden="false" customHeight="true" outlineLevel="0" collapsed="false">
      <c r="F207" s="1" t="str">
        <f aca="false">IF(Data!$G196&lt;=75,Data!$A196,"")</f>
        <v/>
      </c>
      <c r="G207" s="21" t="n">
        <f aca="false">IF(Data!$G196&gt;75,Data!$A196,"")</f>
        <v>24</v>
      </c>
    </row>
    <row r="208" customFormat="false" ht="15" hidden="false" customHeight="true" outlineLevel="0" collapsed="false">
      <c r="F208" s="1" t="str">
        <f aca="false">IF(Data!$G197&lt;=75,Data!$A197,"")</f>
        <v/>
      </c>
      <c r="G208" s="21" t="n">
        <f aca="false">IF(Data!$G197&gt;75,Data!$A197,"")</f>
        <v>22.5</v>
      </c>
    </row>
    <row r="209" customFormat="false" ht="15" hidden="false" customHeight="true" outlineLevel="0" collapsed="false">
      <c r="F209" s="1" t="str">
        <f aca="false">IF(Data!$G198&lt;=75,Data!$A198,"")</f>
        <v/>
      </c>
      <c r="G209" s="21" t="n">
        <f aca="false">IF(Data!$G198&gt;75,Data!$A198,"")</f>
        <v>29</v>
      </c>
    </row>
    <row r="210" customFormat="false" ht="15" hidden="false" customHeight="true" outlineLevel="0" collapsed="false">
      <c r="F210" s="1" t="str">
        <f aca="false">IF(Data!$G199&lt;=75,Data!$A199,"")</f>
        <v/>
      </c>
      <c r="G210" s="21" t="n">
        <f aca="false">IF(Data!$G199&gt;75,Data!$A199,"")</f>
        <v>24.5</v>
      </c>
    </row>
    <row r="211" customFormat="false" ht="15" hidden="false" customHeight="true" outlineLevel="0" collapsed="false">
      <c r="F211" s="1" t="str">
        <f aca="false">IF(Data!$G200&lt;=75,Data!$A200,"")</f>
        <v/>
      </c>
      <c r="G211" s="21" t="n">
        <f aca="false">IF(Data!$G200&gt;75,Data!$A200,"")</f>
        <v>29</v>
      </c>
    </row>
    <row r="212" customFormat="false" ht="15" hidden="false" customHeight="true" outlineLevel="0" collapsed="false">
      <c r="F212" s="1" t="str">
        <f aca="false">IF(Data!$G201&lt;=75,Data!$A201,"")</f>
        <v/>
      </c>
      <c r="G212" s="21" t="n">
        <f aca="false">IF(Data!$G201&gt;75,Data!$A201,"")</f>
        <v>33</v>
      </c>
    </row>
    <row r="213" customFormat="false" ht="15" hidden="false" customHeight="true" outlineLevel="0" collapsed="false">
      <c r="F213" s="1" t="str">
        <f aca="false">IF(Data!$G202&lt;=75,Data!$A202,"")</f>
        <v/>
      </c>
      <c r="G213" s="21" t="n">
        <f aca="false">IF(Data!$G202&gt;75,Data!$A202,"")</f>
        <v>20</v>
      </c>
    </row>
    <row r="214" customFormat="false" ht="15" hidden="false" customHeight="true" outlineLevel="0" collapsed="false">
      <c r="F214" s="1" t="str">
        <f aca="false">IF(Data!$G203&lt;=75,Data!$A203,"")</f>
        <v/>
      </c>
      <c r="G214" s="21" t="n">
        <f aca="false">IF(Data!$G203&gt;75,Data!$A203,"")</f>
        <v>18</v>
      </c>
    </row>
    <row r="215" customFormat="false" ht="15" hidden="false" customHeight="true" outlineLevel="0" collapsed="false">
      <c r="F215" s="1" t="str">
        <f aca="false">IF(Data!$G204&lt;=75,Data!$A204,"")</f>
        <v/>
      </c>
      <c r="G215" s="21" t="n">
        <f aca="false">IF(Data!$G204&gt;75,Data!$A204,"")</f>
        <v>18.5</v>
      </c>
    </row>
    <row r="216" customFormat="false" ht="15" hidden="false" customHeight="true" outlineLevel="0" collapsed="false">
      <c r="F216" s="1" t="str">
        <f aca="false">IF(Data!$G205&lt;=75,Data!$A205,"")</f>
        <v/>
      </c>
      <c r="G216" s="21" t="n">
        <f aca="false">IF(Data!$G205&gt;75,Data!$A205,"")</f>
        <v>17.5</v>
      </c>
    </row>
    <row r="217" customFormat="false" ht="15" hidden="false" customHeight="true" outlineLevel="0" collapsed="false">
      <c r="F217" s="1" t="str">
        <f aca="false">IF(Data!$G206&lt;=75,Data!$A206,"")</f>
        <v/>
      </c>
      <c r="G217" s="21" t="n">
        <f aca="false">IF(Data!$G206&gt;75,Data!$A206,"")</f>
        <v>29.5</v>
      </c>
    </row>
    <row r="218" customFormat="false" ht="15" hidden="false" customHeight="true" outlineLevel="0" collapsed="false">
      <c r="F218" s="1" t="str">
        <f aca="false">IF(Data!$G207&lt;=75,Data!$A207,"")</f>
        <v/>
      </c>
      <c r="G218" s="21" t="n">
        <f aca="false">IF(Data!$G207&gt;75,Data!$A207,"")</f>
        <v>32</v>
      </c>
    </row>
    <row r="219" customFormat="false" ht="15" hidden="false" customHeight="true" outlineLevel="0" collapsed="false">
      <c r="F219" s="1" t="str">
        <f aca="false">IF(Data!$G208&lt;=75,Data!$A208,"")</f>
        <v/>
      </c>
      <c r="G219" s="21" t="n">
        <f aca="false">IF(Data!$G208&gt;75,Data!$A208,"")</f>
        <v>28</v>
      </c>
    </row>
    <row r="220" customFormat="false" ht="15" hidden="false" customHeight="true" outlineLevel="0" collapsed="false">
      <c r="F220" s="1" t="str">
        <f aca="false">IF(Data!$G209&lt;=75,Data!$A209,"")</f>
        <v/>
      </c>
      <c r="G220" s="21" t="n">
        <f aca="false">IF(Data!$G209&gt;75,Data!$A209,"")</f>
        <v>26.5</v>
      </c>
    </row>
    <row r="221" customFormat="false" ht="15" hidden="false" customHeight="true" outlineLevel="0" collapsed="false">
      <c r="F221" s="1" t="str">
        <f aca="false">IF(Data!$G210&lt;=75,Data!$A210,"")</f>
        <v/>
      </c>
      <c r="G221" s="21" t="n">
        <f aca="false">IF(Data!$G210&gt;75,Data!$A210,"")</f>
        <v>20</v>
      </c>
    </row>
    <row r="222" customFormat="false" ht="15" hidden="false" customHeight="true" outlineLevel="0" collapsed="false">
      <c r="F222" s="1" t="str">
        <f aca="false">IF(Data!$G211&lt;=75,Data!$A211,"")</f>
        <v/>
      </c>
      <c r="G222" s="21" t="n">
        <f aca="false">IF(Data!$G211&gt;75,Data!$A211,"")</f>
        <v>13</v>
      </c>
    </row>
    <row r="223" customFormat="false" ht="15" hidden="false" customHeight="true" outlineLevel="0" collapsed="false">
      <c r="F223" s="1" t="str">
        <f aca="false">IF(Data!$G212&lt;=75,Data!$A212,"")</f>
        <v/>
      </c>
      <c r="G223" s="21" t="n">
        <f aca="false">IF(Data!$G212&gt;75,Data!$A212,"")</f>
        <v>19</v>
      </c>
    </row>
    <row r="224" customFormat="false" ht="15" hidden="false" customHeight="true" outlineLevel="0" collapsed="false">
      <c r="F224" s="1" t="str">
        <f aca="false">IF(Data!$G213&lt;=75,Data!$A213,"")</f>
        <v/>
      </c>
      <c r="G224" s="21" t="n">
        <f aca="false">IF(Data!$G213&gt;75,Data!$A213,"")</f>
        <v>19</v>
      </c>
    </row>
    <row r="225" customFormat="false" ht="15" hidden="false" customHeight="true" outlineLevel="0" collapsed="false">
      <c r="F225" s="1" t="str">
        <f aca="false">IF(Data!$G214&lt;=75,Data!$A214,"")</f>
        <v/>
      </c>
      <c r="G225" s="21" t="n">
        <f aca="false">IF(Data!$G214&gt;75,Data!$A214,"")</f>
        <v>16.5</v>
      </c>
    </row>
    <row r="226" customFormat="false" ht="15" hidden="false" customHeight="true" outlineLevel="0" collapsed="false">
      <c r="F226" s="1" t="str">
        <f aca="false">IF(Data!$G215&lt;=75,Data!$A215,"")</f>
        <v/>
      </c>
      <c r="G226" s="21" t="n">
        <f aca="false">IF(Data!$G215&gt;75,Data!$A215,"")</f>
        <v>16.5</v>
      </c>
    </row>
    <row r="227" customFormat="false" ht="15" hidden="false" customHeight="true" outlineLevel="0" collapsed="false">
      <c r="F227" s="1" t="str">
        <f aca="false">IF(Data!$G216&lt;=75,Data!$A216,"")</f>
        <v/>
      </c>
      <c r="G227" s="21" t="n">
        <f aca="false">IF(Data!$G216&gt;75,Data!$A216,"")</f>
        <v>13</v>
      </c>
    </row>
    <row r="228" customFormat="false" ht="15" hidden="false" customHeight="true" outlineLevel="0" collapsed="false">
      <c r="F228" s="1" t="str">
        <f aca="false">IF(Data!$G217&lt;=75,Data!$A217,"")</f>
        <v/>
      </c>
      <c r="G228" s="21" t="n">
        <f aca="false">IF(Data!$G217&gt;75,Data!$A217,"")</f>
        <v>13</v>
      </c>
    </row>
    <row r="229" customFormat="false" ht="15" hidden="false" customHeight="true" outlineLevel="0" collapsed="false">
      <c r="F229" s="1" t="str">
        <f aca="false">IF(Data!$G218&lt;=75,Data!$A218,"")</f>
        <v/>
      </c>
      <c r="G229" s="21" t="n">
        <f aca="false">IF(Data!$G218&gt;75,Data!$A218,"")</f>
        <v>13</v>
      </c>
    </row>
    <row r="230" customFormat="false" ht="15" hidden="false" customHeight="true" outlineLevel="0" collapsed="false">
      <c r="F230" s="1" t="str">
        <f aca="false">IF(Data!$G219&lt;=75,Data!$A219,"")</f>
        <v/>
      </c>
      <c r="G230" s="21" t="n">
        <f aca="false">IF(Data!$G219&gt;75,Data!$A219,"")</f>
        <v>31.5</v>
      </c>
    </row>
    <row r="231" customFormat="false" ht="15" hidden="false" customHeight="true" outlineLevel="0" collapsed="false">
      <c r="F231" s="1" t="str">
        <f aca="false">IF(Data!$G220&lt;=75,Data!$A220,"")</f>
        <v/>
      </c>
      <c r="G231" s="21" t="n">
        <f aca="false">IF(Data!$G220&gt;75,Data!$A220,"")</f>
        <v>30</v>
      </c>
    </row>
    <row r="232" customFormat="false" ht="15" hidden="false" customHeight="true" outlineLevel="0" collapsed="false">
      <c r="F232" s="1" t="str">
        <f aca="false">IF(Data!$G221&lt;=75,Data!$A221,"")</f>
        <v/>
      </c>
      <c r="G232" s="21" t="n">
        <f aca="false">IF(Data!$G221&gt;75,Data!$A221,"")</f>
        <v>36</v>
      </c>
    </row>
    <row r="233" customFormat="false" ht="15" hidden="false" customHeight="true" outlineLevel="0" collapsed="false">
      <c r="F233" s="1" t="str">
        <f aca="false">IF(Data!$G222&lt;=75,Data!$A222,"")</f>
        <v/>
      </c>
      <c r="G233" s="21" t="n">
        <f aca="false">IF(Data!$G222&gt;75,Data!$A222,"")</f>
        <v>25.5</v>
      </c>
    </row>
    <row r="234" customFormat="false" ht="15" hidden="false" customHeight="true" outlineLevel="0" collapsed="false">
      <c r="F234" s="1" t="str">
        <f aca="false">IF(Data!$G223&lt;=75,Data!$A223,"")</f>
        <v/>
      </c>
      <c r="G234" s="21" t="n">
        <f aca="false">IF(Data!$G223&gt;75,Data!$A223,"")</f>
        <v>33.5</v>
      </c>
    </row>
    <row r="235" customFormat="false" ht="15" hidden="false" customHeight="true" outlineLevel="0" collapsed="false">
      <c r="F235" s="1" t="str">
        <f aca="false">IF(Data!$G224&lt;=75,Data!$A224,"")</f>
        <v/>
      </c>
      <c r="G235" s="21" t="n">
        <f aca="false">IF(Data!$G224&gt;75,Data!$A224,"")</f>
        <v>17.5</v>
      </c>
    </row>
    <row r="236" customFormat="false" ht="15" hidden="false" customHeight="true" outlineLevel="0" collapsed="false">
      <c r="F236" s="1" t="str">
        <f aca="false">IF(Data!$G225&lt;=75,Data!$A225,"")</f>
        <v/>
      </c>
      <c r="G236" s="21" t="n">
        <f aca="false">IF(Data!$G225&gt;75,Data!$A225,"")</f>
        <v>17</v>
      </c>
    </row>
    <row r="237" customFormat="false" ht="15" hidden="false" customHeight="true" outlineLevel="0" collapsed="false">
      <c r="F237" s="1" t="str">
        <f aca="false">IF(Data!$G226&lt;=75,Data!$A226,"")</f>
        <v/>
      </c>
      <c r="G237" s="21" t="n">
        <f aca="false">IF(Data!$G226&gt;75,Data!$A226,"")</f>
        <v>15.5</v>
      </c>
    </row>
    <row r="238" customFormat="false" ht="15" hidden="false" customHeight="true" outlineLevel="0" collapsed="false">
      <c r="F238" s="1" t="str">
        <f aca="false">IF(Data!$G227&lt;=75,Data!$A227,"")</f>
        <v/>
      </c>
      <c r="G238" s="21" t="n">
        <f aca="false">IF(Data!$G227&gt;75,Data!$A227,"")</f>
        <v>15</v>
      </c>
    </row>
    <row r="239" customFormat="false" ht="15" hidden="false" customHeight="true" outlineLevel="0" collapsed="false">
      <c r="F239" s="1" t="str">
        <f aca="false">IF(Data!$G228&lt;=75,Data!$A228,"")</f>
        <v/>
      </c>
      <c r="G239" s="21" t="n">
        <f aca="false">IF(Data!$G228&gt;75,Data!$A228,"")</f>
        <v>17.5</v>
      </c>
    </row>
    <row r="240" customFormat="false" ht="15" hidden="false" customHeight="true" outlineLevel="0" collapsed="false">
      <c r="F240" s="1" t="str">
        <f aca="false">IF(Data!$G229&lt;=75,Data!$A229,"")</f>
        <v/>
      </c>
      <c r="G240" s="21" t="n">
        <f aca="false">IF(Data!$G229&gt;75,Data!$A229,"")</f>
        <v>20.5</v>
      </c>
    </row>
    <row r="241" customFormat="false" ht="15" hidden="false" customHeight="true" outlineLevel="0" collapsed="false">
      <c r="F241" s="1" t="str">
        <f aca="false">IF(Data!$G230&lt;=75,Data!$A230,"")</f>
        <v/>
      </c>
      <c r="G241" s="21" t="n">
        <f aca="false">IF(Data!$G230&gt;75,Data!$A230,"")</f>
        <v>19</v>
      </c>
    </row>
    <row r="242" customFormat="false" ht="15" hidden="false" customHeight="true" outlineLevel="0" collapsed="false">
      <c r="F242" s="1" t="str">
        <f aca="false">IF(Data!$G231&lt;=75,Data!$A231,"")</f>
        <v/>
      </c>
      <c r="G242" s="21" t="n">
        <f aca="false">IF(Data!$G231&gt;75,Data!$A231,"")</f>
        <v>18.5</v>
      </c>
    </row>
    <row r="243" customFormat="false" ht="15" hidden="false" customHeight="true" outlineLevel="0" collapsed="false">
      <c r="F243" s="1" t="str">
        <f aca="false">IF(Data!$G232&lt;=75,Data!$A232,"")</f>
        <v/>
      </c>
      <c r="G243" s="21" t="n">
        <f aca="false">IF(Data!$G232&gt;75,Data!$A232,"")</f>
        <v>16</v>
      </c>
    </row>
    <row r="244" customFormat="false" ht="15" hidden="false" customHeight="true" outlineLevel="0" collapsed="false">
      <c r="F244" s="1" t="str">
        <f aca="false">IF(Data!$G233&lt;=75,Data!$A233,"")</f>
        <v/>
      </c>
      <c r="G244" s="21" t="n">
        <f aca="false">IF(Data!$G233&gt;75,Data!$A233,"")</f>
        <v>15.5</v>
      </c>
    </row>
    <row r="245" customFormat="false" ht="15" hidden="false" customHeight="true" outlineLevel="0" collapsed="false">
      <c r="F245" s="1" t="str">
        <f aca="false">IF(Data!$G234&lt;=75,Data!$A234,"")</f>
        <v/>
      </c>
      <c r="G245" s="21" t="n">
        <f aca="false">IF(Data!$G234&gt;75,Data!$A234,"")</f>
        <v>15.5</v>
      </c>
    </row>
    <row r="246" customFormat="false" ht="15" hidden="false" customHeight="true" outlineLevel="0" collapsed="false">
      <c r="F246" s="1" t="str">
        <f aca="false">IF(Data!$G235&lt;=75,Data!$A235,"")</f>
        <v/>
      </c>
      <c r="G246" s="21" t="n">
        <f aca="false">IF(Data!$G235&gt;75,Data!$A235,"")</f>
        <v>16</v>
      </c>
    </row>
    <row r="247" customFormat="false" ht="15" hidden="false" customHeight="true" outlineLevel="0" collapsed="false">
      <c r="F247" s="1" t="str">
        <f aca="false">IF(Data!$G236&lt;=75,Data!$A236,"")</f>
        <v/>
      </c>
      <c r="G247" s="21" t="n">
        <f aca="false">IF(Data!$G236&gt;75,Data!$A236,"")</f>
        <v>29</v>
      </c>
    </row>
    <row r="248" customFormat="false" ht="15" hidden="false" customHeight="true" outlineLevel="0" collapsed="false">
      <c r="F248" s="1" t="str">
        <f aca="false">IF(Data!$G237&lt;=75,Data!$A237,"")</f>
        <v/>
      </c>
      <c r="G248" s="21" t="n">
        <f aca="false">IF(Data!$G237&gt;75,Data!$A237,"")</f>
        <v>24.5</v>
      </c>
    </row>
    <row r="249" customFormat="false" ht="15" hidden="false" customHeight="true" outlineLevel="0" collapsed="false">
      <c r="F249" s="1" t="str">
        <f aca="false">IF(Data!$G238&lt;=75,Data!$A238,"")</f>
        <v/>
      </c>
      <c r="G249" s="21" t="n">
        <f aca="false">IF(Data!$G238&gt;75,Data!$A238,"")</f>
        <v>26</v>
      </c>
    </row>
    <row r="250" customFormat="false" ht="15" hidden="false" customHeight="true" outlineLevel="0" collapsed="false">
      <c r="F250" s="1" t="str">
        <f aca="false">IF(Data!$G239&lt;=75,Data!$A239,"")</f>
        <v/>
      </c>
      <c r="G250" s="21" t="n">
        <f aca="false">IF(Data!$G239&gt;75,Data!$A239,"")</f>
        <v>25.5</v>
      </c>
    </row>
    <row r="251" customFormat="false" ht="15" hidden="false" customHeight="true" outlineLevel="0" collapsed="false">
      <c r="F251" s="1" t="str">
        <f aca="false">IF(Data!$G240&lt;=75,Data!$A240,"")</f>
        <v/>
      </c>
      <c r="G251" s="21" t="n">
        <f aca="false">IF(Data!$G240&gt;75,Data!$A240,"")</f>
        <v>30.5</v>
      </c>
    </row>
    <row r="252" customFormat="false" ht="15" hidden="false" customHeight="true" outlineLevel="0" collapsed="false">
      <c r="F252" s="1" t="str">
        <f aca="false">IF(Data!$G241&lt;=75,Data!$A241,"")</f>
        <v/>
      </c>
      <c r="G252" s="21" t="n">
        <f aca="false">IF(Data!$G241&gt;75,Data!$A241,"")</f>
        <v>33.5</v>
      </c>
    </row>
    <row r="253" customFormat="false" ht="15" hidden="false" customHeight="true" outlineLevel="0" collapsed="false">
      <c r="F253" s="1" t="str">
        <f aca="false">IF(Data!$G242&lt;=75,Data!$A242,"")</f>
        <v/>
      </c>
      <c r="G253" s="21" t="n">
        <f aca="false">IF(Data!$G242&gt;75,Data!$A242,"")</f>
        <v>30</v>
      </c>
    </row>
    <row r="254" customFormat="false" ht="15" hidden="false" customHeight="true" outlineLevel="0" collapsed="false">
      <c r="F254" s="1" t="str">
        <f aca="false">IF(Data!$G243&lt;=75,Data!$A243,"")</f>
        <v/>
      </c>
      <c r="G254" s="21" t="n">
        <f aca="false">IF(Data!$G243&gt;75,Data!$A243,"")</f>
        <v>30.5</v>
      </c>
    </row>
    <row r="255" customFormat="false" ht="15" hidden="false" customHeight="true" outlineLevel="0" collapsed="false">
      <c r="F255" s="1" t="str">
        <f aca="false">IF(Data!$G244&lt;=75,Data!$A244,"")</f>
        <v/>
      </c>
      <c r="G255" s="21" t="n">
        <f aca="false">IF(Data!$G244&gt;75,Data!$A244,"")</f>
        <v>22</v>
      </c>
    </row>
    <row r="256" customFormat="false" ht="15" hidden="false" customHeight="true" outlineLevel="0" collapsed="false">
      <c r="F256" s="1" t="str">
        <f aca="false">IF(Data!$G245&lt;=75,Data!$A245,"")</f>
        <v/>
      </c>
      <c r="G256" s="21" t="n">
        <f aca="false">IF(Data!$G245&gt;75,Data!$A245,"")</f>
        <v>21.5</v>
      </c>
    </row>
    <row r="257" customFormat="false" ht="15" hidden="false" customHeight="true" outlineLevel="0" collapsed="false">
      <c r="F257" s="1" t="str">
        <f aca="false">IF(Data!$G246&lt;=75,Data!$A246,"")</f>
        <v/>
      </c>
      <c r="G257" s="21" t="n">
        <f aca="false">IF(Data!$G246&gt;75,Data!$A246,"")</f>
        <v>21.5</v>
      </c>
    </row>
    <row r="258" customFormat="false" ht="15" hidden="false" customHeight="true" outlineLevel="0" collapsed="false">
      <c r="F258" s="1" t="str">
        <f aca="false">IF(Data!$G247&lt;=75,Data!$A247,"")</f>
        <v/>
      </c>
      <c r="G258" s="21" t="n">
        <f aca="false">IF(Data!$G247&gt;75,Data!$A247,"")</f>
        <v>43.1</v>
      </c>
    </row>
    <row r="259" customFormat="false" ht="15" hidden="false" customHeight="true" outlineLevel="0" collapsed="false">
      <c r="F259" s="1" t="str">
        <f aca="false">IF(Data!$G248&lt;=75,Data!$A248,"")</f>
        <v/>
      </c>
      <c r="G259" s="21" t="n">
        <f aca="false">IF(Data!$G248&gt;75,Data!$A248,"")</f>
        <v>36.1</v>
      </c>
    </row>
    <row r="260" customFormat="false" ht="15" hidden="false" customHeight="true" outlineLevel="0" collapsed="false">
      <c r="F260" s="1" t="str">
        <f aca="false">IF(Data!$G249&lt;=75,Data!$A249,"")</f>
        <v/>
      </c>
      <c r="G260" s="21" t="n">
        <f aca="false">IF(Data!$G249&gt;75,Data!$A249,"")</f>
        <v>32.8</v>
      </c>
    </row>
    <row r="261" customFormat="false" ht="15" hidden="false" customHeight="true" outlineLevel="0" collapsed="false">
      <c r="F261" s="1" t="str">
        <f aca="false">IF(Data!$G250&lt;=75,Data!$A250,"")</f>
        <v/>
      </c>
      <c r="G261" s="21" t="n">
        <f aca="false">IF(Data!$G250&gt;75,Data!$A250,"")</f>
        <v>39.4</v>
      </c>
    </row>
    <row r="262" customFormat="false" ht="15" hidden="false" customHeight="true" outlineLevel="0" collapsed="false">
      <c r="F262" s="1" t="str">
        <f aca="false">IF(Data!$G251&lt;=75,Data!$A251,"")</f>
        <v/>
      </c>
      <c r="G262" s="21" t="n">
        <f aca="false">IF(Data!$G251&gt;75,Data!$A251,"")</f>
        <v>36.1</v>
      </c>
    </row>
    <row r="263" customFormat="false" ht="15" hidden="false" customHeight="true" outlineLevel="0" collapsed="false">
      <c r="F263" s="1" t="str">
        <f aca="false">IF(Data!$G252&lt;=75,Data!$A252,"")</f>
        <v/>
      </c>
      <c r="G263" s="21" t="n">
        <f aca="false">IF(Data!$G252&gt;75,Data!$A252,"")</f>
        <v>19.9</v>
      </c>
    </row>
    <row r="264" customFormat="false" ht="15" hidden="false" customHeight="true" outlineLevel="0" collapsed="false">
      <c r="F264" s="1" t="str">
        <f aca="false">IF(Data!$G253&lt;=75,Data!$A253,"")</f>
        <v/>
      </c>
      <c r="G264" s="21" t="n">
        <f aca="false">IF(Data!$G253&gt;75,Data!$A253,"")</f>
        <v>19.4</v>
      </c>
    </row>
    <row r="265" customFormat="false" ht="15" hidden="false" customHeight="true" outlineLevel="0" collapsed="false">
      <c r="F265" s="1" t="str">
        <f aca="false">IF(Data!$G254&lt;=75,Data!$A254,"")</f>
        <v/>
      </c>
      <c r="G265" s="21" t="n">
        <f aca="false">IF(Data!$G254&gt;75,Data!$A254,"")</f>
        <v>20.2</v>
      </c>
    </row>
    <row r="266" customFormat="false" ht="15" hidden="false" customHeight="true" outlineLevel="0" collapsed="false">
      <c r="F266" s="1" t="str">
        <f aca="false">IF(Data!$G255&lt;=75,Data!$A255,"")</f>
        <v/>
      </c>
      <c r="G266" s="21" t="n">
        <f aca="false">IF(Data!$G255&gt;75,Data!$A255,"")</f>
        <v>19.2</v>
      </c>
    </row>
    <row r="267" customFormat="false" ht="15" hidden="false" customHeight="true" outlineLevel="0" collapsed="false">
      <c r="F267" s="1" t="str">
        <f aca="false">IF(Data!$G256&lt;=75,Data!$A256,"")</f>
        <v/>
      </c>
      <c r="G267" s="21" t="n">
        <f aca="false">IF(Data!$G256&gt;75,Data!$A256,"")</f>
        <v>20.5</v>
      </c>
    </row>
    <row r="268" customFormat="false" ht="15" hidden="false" customHeight="true" outlineLevel="0" collapsed="false">
      <c r="F268" s="1" t="str">
        <f aca="false">IF(Data!$G257&lt;=75,Data!$A257,"")</f>
        <v/>
      </c>
      <c r="G268" s="21" t="n">
        <f aca="false">IF(Data!$G257&gt;75,Data!$A257,"")</f>
        <v>20.2</v>
      </c>
    </row>
    <row r="269" customFormat="false" ht="15" hidden="false" customHeight="true" outlineLevel="0" collapsed="false">
      <c r="F269" s="1" t="str">
        <f aca="false">IF(Data!$G258&lt;=75,Data!$A258,"")</f>
        <v/>
      </c>
      <c r="G269" s="21" t="n">
        <f aca="false">IF(Data!$G258&gt;75,Data!$A258,"")</f>
        <v>25.1</v>
      </c>
    </row>
    <row r="270" customFormat="false" ht="15" hidden="false" customHeight="true" outlineLevel="0" collapsed="false">
      <c r="F270" s="1" t="str">
        <f aca="false">IF(Data!$G259&lt;=75,Data!$A259,"")</f>
        <v/>
      </c>
      <c r="G270" s="21" t="n">
        <f aca="false">IF(Data!$G259&gt;75,Data!$A259,"")</f>
        <v>20.5</v>
      </c>
    </row>
    <row r="271" customFormat="false" ht="15" hidden="false" customHeight="true" outlineLevel="0" collapsed="false">
      <c r="F271" s="1" t="str">
        <f aca="false">IF(Data!$G260&lt;=75,Data!$A260,"")</f>
        <v/>
      </c>
      <c r="G271" s="21" t="n">
        <f aca="false">IF(Data!$G260&gt;75,Data!$A260,"")</f>
        <v>19.4</v>
      </c>
    </row>
    <row r="272" customFormat="false" ht="15" hidden="false" customHeight="true" outlineLevel="0" collapsed="false">
      <c r="F272" s="1" t="str">
        <f aca="false">IF(Data!$G261&lt;=75,Data!$A261,"")</f>
        <v/>
      </c>
      <c r="G272" s="21" t="n">
        <f aca="false">IF(Data!$G261&gt;75,Data!$A261,"")</f>
        <v>20.6</v>
      </c>
    </row>
    <row r="273" customFormat="false" ht="15" hidden="false" customHeight="true" outlineLevel="0" collapsed="false">
      <c r="F273" s="1" t="str">
        <f aca="false">IF(Data!$G262&lt;=75,Data!$A262,"")</f>
        <v/>
      </c>
      <c r="G273" s="21" t="n">
        <f aca="false">IF(Data!$G262&gt;75,Data!$A262,"")</f>
        <v>20.8</v>
      </c>
    </row>
    <row r="274" customFormat="false" ht="15" hidden="false" customHeight="true" outlineLevel="0" collapsed="false">
      <c r="F274" s="1" t="str">
        <f aca="false">IF(Data!$G263&lt;=75,Data!$A263,"")</f>
        <v/>
      </c>
      <c r="G274" s="21" t="n">
        <f aca="false">IF(Data!$G263&gt;75,Data!$A263,"")</f>
        <v>18.6</v>
      </c>
    </row>
    <row r="275" customFormat="false" ht="15" hidden="false" customHeight="true" outlineLevel="0" collapsed="false">
      <c r="F275" s="1" t="str">
        <f aca="false">IF(Data!$G264&lt;=75,Data!$A264,"")</f>
        <v/>
      </c>
      <c r="G275" s="21" t="n">
        <f aca="false">IF(Data!$G264&gt;75,Data!$A264,"")</f>
        <v>18.1</v>
      </c>
    </row>
    <row r="276" customFormat="false" ht="15" hidden="false" customHeight="true" outlineLevel="0" collapsed="false">
      <c r="F276" s="1" t="str">
        <f aca="false">IF(Data!$G265&lt;=75,Data!$A265,"")</f>
        <v/>
      </c>
      <c r="G276" s="21" t="n">
        <f aca="false">IF(Data!$G265&gt;75,Data!$A265,"")</f>
        <v>19.2</v>
      </c>
    </row>
    <row r="277" customFormat="false" ht="15" hidden="false" customHeight="true" outlineLevel="0" collapsed="false">
      <c r="F277" s="1" t="str">
        <f aca="false">IF(Data!$G266&lt;=75,Data!$A266,"")</f>
        <v/>
      </c>
      <c r="G277" s="21" t="n">
        <f aca="false">IF(Data!$G266&gt;75,Data!$A266,"")</f>
        <v>17.7</v>
      </c>
    </row>
    <row r="278" customFormat="false" ht="15" hidden="false" customHeight="true" outlineLevel="0" collapsed="false">
      <c r="F278" s="1" t="str">
        <f aca="false">IF(Data!$G267&lt;=75,Data!$A267,"")</f>
        <v/>
      </c>
      <c r="G278" s="21" t="n">
        <f aca="false">IF(Data!$G267&gt;75,Data!$A267,"")</f>
        <v>18.1</v>
      </c>
    </row>
    <row r="279" customFormat="false" ht="15" hidden="false" customHeight="true" outlineLevel="0" collapsed="false">
      <c r="F279" s="1" t="str">
        <f aca="false">IF(Data!$G268&lt;=75,Data!$A268,"")</f>
        <v/>
      </c>
      <c r="G279" s="21" t="n">
        <f aca="false">IF(Data!$G268&gt;75,Data!$A268,"")</f>
        <v>17.5</v>
      </c>
    </row>
    <row r="280" customFormat="false" ht="15" hidden="false" customHeight="true" outlineLevel="0" collapsed="false">
      <c r="F280" s="1" t="str">
        <f aca="false">IF(Data!$G269&lt;=75,Data!$A269,"")</f>
        <v/>
      </c>
      <c r="G280" s="21" t="n">
        <f aca="false">IF(Data!$G269&gt;75,Data!$A269,"")</f>
        <v>30</v>
      </c>
    </row>
    <row r="281" customFormat="false" ht="15" hidden="false" customHeight="true" outlineLevel="0" collapsed="false">
      <c r="F281" s="1" t="str">
        <f aca="false">IF(Data!$G270&lt;=75,Data!$A270,"")</f>
        <v/>
      </c>
      <c r="G281" s="21" t="n">
        <f aca="false">IF(Data!$G270&gt;75,Data!$A270,"")</f>
        <v>27.5</v>
      </c>
    </row>
    <row r="282" customFormat="false" ht="15" hidden="false" customHeight="true" outlineLevel="0" collapsed="false">
      <c r="F282" s="1" t="str">
        <f aca="false">IF(Data!$G271&lt;=75,Data!$A271,"")</f>
        <v/>
      </c>
      <c r="G282" s="21" t="n">
        <f aca="false">IF(Data!$G271&gt;75,Data!$A271,"")</f>
        <v>27.2</v>
      </c>
    </row>
    <row r="283" customFormat="false" ht="15" hidden="false" customHeight="true" outlineLevel="0" collapsed="false">
      <c r="F283" s="1" t="str">
        <f aca="false">IF(Data!$G272&lt;=75,Data!$A272,"")</f>
        <v/>
      </c>
      <c r="G283" s="21" t="n">
        <f aca="false">IF(Data!$G272&gt;75,Data!$A272,"")</f>
        <v>30.9</v>
      </c>
    </row>
    <row r="284" customFormat="false" ht="15" hidden="false" customHeight="true" outlineLevel="0" collapsed="false">
      <c r="F284" s="1" t="str">
        <f aca="false">IF(Data!$G273&lt;=75,Data!$A273,"")</f>
        <v/>
      </c>
      <c r="G284" s="21" t="n">
        <f aca="false">IF(Data!$G273&gt;75,Data!$A273,"")</f>
        <v>21.1</v>
      </c>
    </row>
    <row r="285" customFormat="false" ht="15" hidden="false" customHeight="true" outlineLevel="0" collapsed="false">
      <c r="F285" s="1" t="str">
        <f aca="false">IF(Data!$G274&lt;=75,Data!$A274,"")</f>
        <v/>
      </c>
      <c r="G285" s="21" t="n">
        <f aca="false">IF(Data!$G274&gt;75,Data!$A274,"")</f>
        <v>23.2</v>
      </c>
    </row>
    <row r="286" customFormat="false" ht="15" hidden="false" customHeight="true" outlineLevel="0" collapsed="false">
      <c r="F286" s="1" t="str">
        <f aca="false">IF(Data!$G275&lt;=75,Data!$A275,"")</f>
        <v/>
      </c>
      <c r="G286" s="21" t="n">
        <f aca="false">IF(Data!$G275&gt;75,Data!$A275,"")</f>
        <v>23.8</v>
      </c>
    </row>
    <row r="287" customFormat="false" ht="15" hidden="false" customHeight="true" outlineLevel="0" collapsed="false">
      <c r="F287" s="1" t="str">
        <f aca="false">IF(Data!$G276&lt;=75,Data!$A276,"")</f>
        <v/>
      </c>
      <c r="G287" s="21" t="n">
        <f aca="false">IF(Data!$G276&gt;75,Data!$A276,"")</f>
        <v>23.9</v>
      </c>
    </row>
    <row r="288" customFormat="false" ht="15" hidden="false" customHeight="true" outlineLevel="0" collapsed="false">
      <c r="F288" s="1" t="str">
        <f aca="false">IF(Data!$G277&lt;=75,Data!$A277,"")</f>
        <v/>
      </c>
      <c r="G288" s="21" t="n">
        <f aca="false">IF(Data!$G277&gt;75,Data!$A277,"")</f>
        <v>20.3</v>
      </c>
    </row>
    <row r="289" customFormat="false" ht="15" hidden="false" customHeight="true" outlineLevel="0" collapsed="false">
      <c r="F289" s="1" t="str">
        <f aca="false">IF(Data!$G278&lt;=75,Data!$A278,"")</f>
        <v/>
      </c>
      <c r="G289" s="21" t="n">
        <f aca="false">IF(Data!$G278&gt;75,Data!$A278,"")</f>
        <v>17</v>
      </c>
    </row>
    <row r="290" customFormat="false" ht="15" hidden="false" customHeight="true" outlineLevel="0" collapsed="false">
      <c r="F290" s="1" t="str">
        <f aca="false">IF(Data!$G279&lt;=75,Data!$A279,"")</f>
        <v/>
      </c>
      <c r="G290" s="21" t="n">
        <f aca="false">IF(Data!$G279&gt;75,Data!$A279,"")</f>
        <v>21.6</v>
      </c>
    </row>
    <row r="291" customFormat="false" ht="15" hidden="false" customHeight="true" outlineLevel="0" collapsed="false">
      <c r="F291" s="1" t="str">
        <f aca="false">IF(Data!$G280&lt;=75,Data!$A280,"")</f>
        <v/>
      </c>
      <c r="G291" s="21" t="n">
        <f aca="false">IF(Data!$G280&gt;75,Data!$A280,"")</f>
        <v>16.2</v>
      </c>
    </row>
    <row r="292" customFormat="false" ht="15" hidden="false" customHeight="true" outlineLevel="0" collapsed="false">
      <c r="F292" s="1" t="str">
        <f aca="false">IF(Data!$G281&lt;=75,Data!$A281,"")</f>
        <v/>
      </c>
      <c r="G292" s="21" t="n">
        <f aca="false">IF(Data!$G281&gt;75,Data!$A281,"")</f>
        <v>31.5</v>
      </c>
    </row>
    <row r="293" customFormat="false" ht="15" hidden="false" customHeight="true" outlineLevel="0" collapsed="false">
      <c r="F293" s="1" t="str">
        <f aca="false">IF(Data!$G282&lt;=75,Data!$A282,"")</f>
        <v/>
      </c>
      <c r="G293" s="21" t="n">
        <f aca="false">IF(Data!$G282&gt;75,Data!$A282,"")</f>
        <v>29.5</v>
      </c>
    </row>
    <row r="294" customFormat="false" ht="15" hidden="false" customHeight="true" outlineLevel="0" collapsed="false">
      <c r="F294" s="1" t="str">
        <f aca="false">IF(Data!$G283&lt;=75,Data!$A283,"")</f>
        <v/>
      </c>
      <c r="G294" s="21" t="n">
        <f aca="false">IF(Data!$G283&gt;75,Data!$A283,"")</f>
        <v>21.5</v>
      </c>
    </row>
    <row r="295" customFormat="false" ht="15" hidden="false" customHeight="true" outlineLevel="0" collapsed="false">
      <c r="F295" s="1" t="str">
        <f aca="false">IF(Data!$G284&lt;=75,Data!$A284,"")</f>
        <v/>
      </c>
      <c r="G295" s="21" t="n">
        <f aca="false">IF(Data!$G284&gt;75,Data!$A284,"")</f>
        <v>19.8</v>
      </c>
    </row>
    <row r="296" customFormat="false" ht="15" hidden="false" customHeight="true" outlineLevel="0" collapsed="false">
      <c r="F296" s="1" t="str">
        <f aca="false">IF(Data!$G285&lt;=75,Data!$A285,"")</f>
        <v/>
      </c>
      <c r="G296" s="21" t="n">
        <f aca="false">IF(Data!$G285&gt;75,Data!$A285,"")</f>
        <v>22.3</v>
      </c>
    </row>
    <row r="297" customFormat="false" ht="15" hidden="false" customHeight="true" outlineLevel="0" collapsed="false">
      <c r="F297" s="1" t="str">
        <f aca="false">IF(Data!$G286&lt;=75,Data!$A286,"")</f>
        <v/>
      </c>
      <c r="G297" s="21" t="n">
        <f aca="false">IF(Data!$G286&gt;75,Data!$A286,"")</f>
        <v>20.2</v>
      </c>
    </row>
    <row r="298" customFormat="false" ht="15" hidden="false" customHeight="true" outlineLevel="0" collapsed="false">
      <c r="F298" s="1" t="str">
        <f aca="false">IF(Data!$G287&lt;=75,Data!$A287,"")</f>
        <v/>
      </c>
      <c r="G298" s="21" t="n">
        <f aca="false">IF(Data!$G287&gt;75,Data!$A287,"")</f>
        <v>20.6</v>
      </c>
    </row>
    <row r="299" customFormat="false" ht="15" hidden="false" customHeight="true" outlineLevel="0" collapsed="false">
      <c r="F299" s="1" t="str">
        <f aca="false">IF(Data!$G288&lt;=75,Data!$A288,"")</f>
        <v/>
      </c>
      <c r="G299" s="21" t="n">
        <f aca="false">IF(Data!$G288&gt;75,Data!$A288,"")</f>
        <v>17</v>
      </c>
    </row>
    <row r="300" customFormat="false" ht="15" hidden="false" customHeight="true" outlineLevel="0" collapsed="false">
      <c r="F300" s="1" t="str">
        <f aca="false">IF(Data!$G289&lt;=75,Data!$A289,"")</f>
        <v/>
      </c>
      <c r="G300" s="21" t="n">
        <f aca="false">IF(Data!$G289&gt;75,Data!$A289,"")</f>
        <v>17.6</v>
      </c>
    </row>
    <row r="301" customFormat="false" ht="15" hidden="false" customHeight="true" outlineLevel="0" collapsed="false">
      <c r="F301" s="1" t="str">
        <f aca="false">IF(Data!$G290&lt;=75,Data!$A290,"")</f>
        <v/>
      </c>
      <c r="G301" s="21" t="n">
        <f aca="false">IF(Data!$G290&gt;75,Data!$A290,"")</f>
        <v>16.5</v>
      </c>
    </row>
    <row r="302" customFormat="false" ht="15" hidden="false" customHeight="true" outlineLevel="0" collapsed="false">
      <c r="F302" s="1" t="str">
        <f aca="false">IF(Data!$G291&lt;=75,Data!$A291,"")</f>
        <v/>
      </c>
      <c r="G302" s="21" t="n">
        <f aca="false">IF(Data!$G291&gt;75,Data!$A291,"")</f>
        <v>18.2</v>
      </c>
    </row>
    <row r="303" customFormat="false" ht="15" hidden="false" customHeight="true" outlineLevel="0" collapsed="false">
      <c r="F303" s="1" t="str">
        <f aca="false">IF(Data!$G292&lt;=75,Data!$A292,"")</f>
        <v/>
      </c>
      <c r="G303" s="21" t="n">
        <f aca="false">IF(Data!$G292&gt;75,Data!$A292,"")</f>
        <v>16.9</v>
      </c>
    </row>
    <row r="304" customFormat="false" ht="15" hidden="false" customHeight="true" outlineLevel="0" collapsed="false">
      <c r="F304" s="1" t="str">
        <f aca="false">IF(Data!$G293&lt;=75,Data!$A293,"")</f>
        <v/>
      </c>
      <c r="G304" s="21" t="n">
        <f aca="false">IF(Data!$G293&gt;75,Data!$A293,"")</f>
        <v>15.5</v>
      </c>
    </row>
    <row r="305" customFormat="false" ht="15" hidden="false" customHeight="true" outlineLevel="0" collapsed="false">
      <c r="F305" s="1" t="str">
        <f aca="false">IF(Data!$G294&lt;=75,Data!$A294,"")</f>
        <v/>
      </c>
      <c r="G305" s="21" t="n">
        <f aca="false">IF(Data!$G294&gt;75,Data!$A294,"")</f>
        <v>19.2</v>
      </c>
    </row>
    <row r="306" customFormat="false" ht="15" hidden="false" customHeight="true" outlineLevel="0" collapsed="false">
      <c r="F306" s="1" t="str">
        <f aca="false">IF(Data!$G295&lt;=75,Data!$A295,"")</f>
        <v/>
      </c>
      <c r="G306" s="21" t="n">
        <f aca="false">IF(Data!$G295&gt;75,Data!$A295,"")</f>
        <v>18.5</v>
      </c>
    </row>
    <row r="307" customFormat="false" ht="15" hidden="false" customHeight="true" outlineLevel="0" collapsed="false">
      <c r="F307" s="1" t="str">
        <f aca="false">IF(Data!$G296&lt;=75,Data!$A296,"")</f>
        <v/>
      </c>
      <c r="G307" s="21" t="n">
        <f aca="false">IF(Data!$G296&gt;75,Data!$A296,"")</f>
        <v>31.9</v>
      </c>
    </row>
    <row r="308" customFormat="false" ht="15" hidden="false" customHeight="true" outlineLevel="0" collapsed="false">
      <c r="F308" s="1" t="str">
        <f aca="false">IF(Data!$G297&lt;=75,Data!$A297,"")</f>
        <v/>
      </c>
      <c r="G308" s="21" t="n">
        <f aca="false">IF(Data!$G297&gt;75,Data!$A297,"")</f>
        <v>34.1</v>
      </c>
    </row>
    <row r="309" customFormat="false" ht="15" hidden="false" customHeight="true" outlineLevel="0" collapsed="false">
      <c r="F309" s="1" t="str">
        <f aca="false">IF(Data!$G298&lt;=75,Data!$A298,"")</f>
        <v/>
      </c>
      <c r="G309" s="21" t="n">
        <f aca="false">IF(Data!$G298&gt;75,Data!$A298,"")</f>
        <v>35.7</v>
      </c>
    </row>
    <row r="310" customFormat="false" ht="15" hidden="false" customHeight="true" outlineLevel="0" collapsed="false">
      <c r="F310" s="1" t="str">
        <f aca="false">IF(Data!$G299&lt;=75,Data!$A299,"")</f>
        <v/>
      </c>
      <c r="G310" s="21" t="n">
        <f aca="false">IF(Data!$G299&gt;75,Data!$A299,"")</f>
        <v>27.4</v>
      </c>
    </row>
    <row r="311" customFormat="false" ht="15" hidden="false" customHeight="true" outlineLevel="0" collapsed="false">
      <c r="F311" s="1" t="str">
        <f aca="false">IF(Data!$G300&lt;=75,Data!$A300,"")</f>
        <v/>
      </c>
      <c r="G311" s="21" t="n">
        <f aca="false">IF(Data!$G300&gt;75,Data!$A300,"")</f>
        <v>25.4</v>
      </c>
    </row>
    <row r="312" customFormat="false" ht="15" hidden="false" customHeight="true" outlineLevel="0" collapsed="false">
      <c r="F312" s="1" t="str">
        <f aca="false">IF(Data!$G301&lt;=75,Data!$A301,"")</f>
        <v/>
      </c>
      <c r="G312" s="21" t="n">
        <f aca="false">IF(Data!$G301&gt;75,Data!$A301,"")</f>
        <v>23</v>
      </c>
    </row>
    <row r="313" customFormat="false" ht="15" hidden="false" customHeight="true" outlineLevel="0" collapsed="false">
      <c r="F313" s="1" t="str">
        <f aca="false">IF(Data!$G302&lt;=75,Data!$A302,"")</f>
        <v/>
      </c>
      <c r="G313" s="21" t="n">
        <f aca="false">IF(Data!$G302&gt;75,Data!$A302,"")</f>
        <v>27.2</v>
      </c>
    </row>
    <row r="314" customFormat="false" ht="15" hidden="false" customHeight="true" outlineLevel="0" collapsed="false">
      <c r="F314" s="1" t="str">
        <f aca="false">IF(Data!$G303&lt;=75,Data!$A303,"")</f>
        <v/>
      </c>
      <c r="G314" s="21" t="n">
        <f aca="false">IF(Data!$G303&gt;75,Data!$A303,"")</f>
        <v>23.9</v>
      </c>
    </row>
    <row r="315" customFormat="false" ht="15" hidden="false" customHeight="true" outlineLevel="0" collapsed="false">
      <c r="F315" s="1" t="str">
        <f aca="false">IF(Data!$G304&lt;=75,Data!$A304,"")</f>
        <v/>
      </c>
      <c r="G315" s="21" t="n">
        <f aca="false">IF(Data!$G304&gt;75,Data!$A304,"")</f>
        <v>34.2</v>
      </c>
    </row>
    <row r="316" customFormat="false" ht="15" hidden="false" customHeight="true" outlineLevel="0" collapsed="false">
      <c r="F316" s="1" t="str">
        <f aca="false">IF(Data!$G305&lt;=75,Data!$A305,"")</f>
        <v/>
      </c>
      <c r="G316" s="21" t="n">
        <f aca="false">IF(Data!$G305&gt;75,Data!$A305,"")</f>
        <v>34.5</v>
      </c>
    </row>
    <row r="317" customFormat="false" ht="15" hidden="false" customHeight="true" outlineLevel="0" collapsed="false">
      <c r="F317" s="1" t="str">
        <f aca="false">IF(Data!$G306&lt;=75,Data!$A306,"")</f>
        <v/>
      </c>
      <c r="G317" s="21" t="n">
        <f aca="false">IF(Data!$G306&gt;75,Data!$A306,"")</f>
        <v>31.8</v>
      </c>
    </row>
    <row r="318" customFormat="false" ht="15" hidden="false" customHeight="true" outlineLevel="0" collapsed="false">
      <c r="F318" s="1" t="str">
        <f aca="false">IF(Data!$G307&lt;=75,Data!$A307,"")</f>
        <v/>
      </c>
      <c r="G318" s="21" t="n">
        <f aca="false">IF(Data!$G307&gt;75,Data!$A307,"")</f>
        <v>37.3</v>
      </c>
    </row>
    <row r="319" customFormat="false" ht="15" hidden="false" customHeight="true" outlineLevel="0" collapsed="false">
      <c r="F319" s="1" t="str">
        <f aca="false">IF(Data!$G308&lt;=75,Data!$A308,"")</f>
        <v/>
      </c>
      <c r="G319" s="21" t="n">
        <f aca="false">IF(Data!$G308&gt;75,Data!$A308,"")</f>
        <v>28.4</v>
      </c>
    </row>
    <row r="320" customFormat="false" ht="15" hidden="false" customHeight="true" outlineLevel="0" collapsed="false">
      <c r="F320" s="1" t="str">
        <f aca="false">IF(Data!$G309&lt;=75,Data!$A309,"")</f>
        <v/>
      </c>
      <c r="G320" s="21" t="n">
        <f aca="false">IF(Data!$G309&gt;75,Data!$A309,"")</f>
        <v>28.8</v>
      </c>
    </row>
    <row r="321" customFormat="false" ht="15" hidden="false" customHeight="true" outlineLevel="0" collapsed="false">
      <c r="F321" s="1" t="str">
        <f aca="false">IF(Data!$G310&lt;=75,Data!$A310,"")</f>
        <v/>
      </c>
      <c r="G321" s="21" t="n">
        <f aca="false">IF(Data!$G310&gt;75,Data!$A310,"")</f>
        <v>26.8</v>
      </c>
    </row>
    <row r="322" customFormat="false" ht="15" hidden="false" customHeight="true" outlineLevel="0" collapsed="false">
      <c r="F322" s="1" t="str">
        <f aca="false">IF(Data!$G311&lt;=75,Data!$A311,"")</f>
        <v/>
      </c>
      <c r="G322" s="21" t="n">
        <f aca="false">IF(Data!$G311&gt;75,Data!$A311,"")</f>
        <v>33.5</v>
      </c>
    </row>
    <row r="323" customFormat="false" ht="15" hidden="false" customHeight="true" outlineLevel="0" collapsed="false">
      <c r="F323" s="1" t="str">
        <f aca="false">IF(Data!$G312&lt;=75,Data!$A312,"")</f>
        <v/>
      </c>
      <c r="G323" s="21" t="n">
        <f aca="false">IF(Data!$G312&gt;75,Data!$A312,"")</f>
        <v>41.5</v>
      </c>
    </row>
    <row r="324" customFormat="false" ht="15" hidden="false" customHeight="true" outlineLevel="0" collapsed="false">
      <c r="F324" s="1" t="str">
        <f aca="false">IF(Data!$G313&lt;=75,Data!$A313,"")</f>
        <v/>
      </c>
      <c r="G324" s="21" t="n">
        <f aca="false">IF(Data!$G313&gt;75,Data!$A313,"")</f>
        <v>38.1</v>
      </c>
    </row>
    <row r="325" customFormat="false" ht="15" hidden="false" customHeight="true" outlineLevel="0" collapsed="false">
      <c r="F325" s="1" t="str">
        <f aca="false">IF(Data!$G314&lt;=75,Data!$A314,"")</f>
        <v/>
      </c>
      <c r="G325" s="21" t="n">
        <f aca="false">IF(Data!$G314&gt;75,Data!$A314,"")</f>
        <v>32.1</v>
      </c>
    </row>
    <row r="326" customFormat="false" ht="15" hidden="false" customHeight="true" outlineLevel="0" collapsed="false">
      <c r="F326" s="1" t="str">
        <f aca="false">IF(Data!$G315&lt;=75,Data!$A315,"")</f>
        <v/>
      </c>
      <c r="G326" s="21" t="n">
        <f aca="false">IF(Data!$G315&gt;75,Data!$A315,"")</f>
        <v>37.2</v>
      </c>
    </row>
    <row r="327" customFormat="false" ht="15" hidden="false" customHeight="true" outlineLevel="0" collapsed="false">
      <c r="F327" s="1" t="str">
        <f aca="false">IF(Data!$G316&lt;=75,Data!$A316,"")</f>
        <v/>
      </c>
      <c r="G327" s="21" t="n">
        <f aca="false">IF(Data!$G316&gt;75,Data!$A316,"")</f>
        <v>28</v>
      </c>
    </row>
    <row r="328" customFormat="false" ht="15" hidden="false" customHeight="true" outlineLevel="0" collapsed="false">
      <c r="F328" s="1" t="str">
        <f aca="false">IF(Data!$G317&lt;=75,Data!$A317,"")</f>
        <v/>
      </c>
      <c r="G328" s="21" t="n">
        <f aca="false">IF(Data!$G317&gt;75,Data!$A317,"")</f>
        <v>26.4</v>
      </c>
    </row>
    <row r="329" customFormat="false" ht="15" hidden="false" customHeight="true" outlineLevel="0" collapsed="false">
      <c r="F329" s="1" t="str">
        <f aca="false">IF(Data!$G318&lt;=75,Data!$A318,"")</f>
        <v/>
      </c>
      <c r="G329" s="21" t="n">
        <f aca="false">IF(Data!$G318&gt;75,Data!$A318,"")</f>
        <v>24.3</v>
      </c>
    </row>
    <row r="330" customFormat="false" ht="15" hidden="false" customHeight="true" outlineLevel="0" collapsed="false">
      <c r="F330" s="1" t="str">
        <f aca="false">IF(Data!$G319&lt;=75,Data!$A319,"")</f>
        <v/>
      </c>
      <c r="G330" s="21" t="n">
        <f aca="false">IF(Data!$G319&gt;75,Data!$A319,"")</f>
        <v>19.1</v>
      </c>
    </row>
    <row r="331" customFormat="false" ht="15" hidden="false" customHeight="true" outlineLevel="0" collapsed="false">
      <c r="F331" s="1" t="str">
        <f aca="false">IF(Data!$G320&lt;=75,Data!$A320,"")</f>
        <v/>
      </c>
      <c r="G331" s="21" t="n">
        <f aca="false">IF(Data!$G320&gt;75,Data!$A320,"")</f>
        <v>34.3</v>
      </c>
    </row>
    <row r="332" customFormat="false" ht="15" hidden="false" customHeight="true" outlineLevel="0" collapsed="false">
      <c r="F332" s="1" t="str">
        <f aca="false">IF(Data!$G321&lt;=75,Data!$A321,"")</f>
        <v/>
      </c>
      <c r="G332" s="21" t="n">
        <f aca="false">IF(Data!$G321&gt;75,Data!$A321,"")</f>
        <v>29.8</v>
      </c>
    </row>
    <row r="333" customFormat="false" ht="15" hidden="false" customHeight="true" outlineLevel="0" collapsed="false">
      <c r="F333" s="1" t="str">
        <f aca="false">IF(Data!$G322&lt;=75,Data!$A322,"")</f>
        <v/>
      </c>
      <c r="G333" s="21" t="n">
        <f aca="false">IF(Data!$G322&gt;75,Data!$A322,"")</f>
        <v>31.3</v>
      </c>
    </row>
    <row r="334" customFormat="false" ht="15" hidden="false" customHeight="true" outlineLevel="0" collapsed="false">
      <c r="F334" s="1" t="str">
        <f aca="false">IF(Data!$G323&lt;=75,Data!$A323,"")</f>
        <v/>
      </c>
      <c r="G334" s="21" t="n">
        <f aca="false">IF(Data!$G323&gt;75,Data!$A323,"")</f>
        <v>37</v>
      </c>
    </row>
    <row r="335" customFormat="false" ht="15" hidden="false" customHeight="true" outlineLevel="0" collapsed="false">
      <c r="F335" s="1" t="str">
        <f aca="false">IF(Data!$G324&lt;=75,Data!$A324,"")</f>
        <v/>
      </c>
      <c r="G335" s="21" t="n">
        <f aca="false">IF(Data!$G324&gt;75,Data!$A324,"")</f>
        <v>32.2</v>
      </c>
    </row>
    <row r="336" customFormat="false" ht="15" hidden="false" customHeight="true" outlineLevel="0" collapsed="false">
      <c r="F336" s="1" t="str">
        <f aca="false">IF(Data!$G325&lt;=75,Data!$A325,"")</f>
        <v/>
      </c>
      <c r="G336" s="21" t="n">
        <f aca="false">IF(Data!$G325&gt;75,Data!$A325,"")</f>
        <v>46.6</v>
      </c>
    </row>
    <row r="337" customFormat="false" ht="15" hidden="false" customHeight="true" outlineLevel="0" collapsed="false">
      <c r="F337" s="1" t="str">
        <f aca="false">IF(Data!$G326&lt;=75,Data!$A326,"")</f>
        <v/>
      </c>
      <c r="G337" s="21" t="n">
        <f aca="false">IF(Data!$G326&gt;75,Data!$A326,"")</f>
        <v>27.9</v>
      </c>
    </row>
    <row r="338" customFormat="false" ht="15" hidden="false" customHeight="true" outlineLevel="0" collapsed="false">
      <c r="F338" s="1" t="str">
        <f aca="false">IF(Data!$G327&lt;=75,Data!$A327,"")</f>
        <v/>
      </c>
      <c r="G338" s="21" t="n">
        <f aca="false">IF(Data!$G327&gt;75,Data!$A327,"")</f>
        <v>40.8</v>
      </c>
    </row>
    <row r="339" customFormat="false" ht="15" hidden="false" customHeight="true" outlineLevel="0" collapsed="false">
      <c r="F339" s="1" t="str">
        <f aca="false">IF(Data!$G328&lt;=75,Data!$A328,"")</f>
        <v/>
      </c>
      <c r="G339" s="21" t="n">
        <f aca="false">IF(Data!$G328&gt;75,Data!$A328,"")</f>
        <v>44.3</v>
      </c>
    </row>
    <row r="340" customFormat="false" ht="15" hidden="false" customHeight="true" outlineLevel="0" collapsed="false">
      <c r="F340" s="1" t="str">
        <f aca="false">IF(Data!$G329&lt;=75,Data!$A329,"")</f>
        <v/>
      </c>
      <c r="G340" s="21" t="n">
        <f aca="false">IF(Data!$G329&gt;75,Data!$A329,"")</f>
        <v>43.4</v>
      </c>
    </row>
    <row r="341" customFormat="false" ht="15" hidden="false" customHeight="true" outlineLevel="0" collapsed="false">
      <c r="F341" s="1" t="str">
        <f aca="false">IF(Data!$G330&lt;=75,Data!$A330,"")</f>
        <v/>
      </c>
      <c r="G341" s="21" t="n">
        <f aca="false">IF(Data!$G330&gt;75,Data!$A330,"")</f>
        <v>36.4</v>
      </c>
    </row>
    <row r="342" customFormat="false" ht="15" hidden="false" customHeight="true" outlineLevel="0" collapsed="false">
      <c r="F342" s="1" t="str">
        <f aca="false">IF(Data!$G331&lt;=75,Data!$A331,"")</f>
        <v/>
      </c>
      <c r="G342" s="21" t="n">
        <f aca="false">IF(Data!$G331&gt;75,Data!$A331,"")</f>
        <v>30</v>
      </c>
    </row>
    <row r="343" customFormat="false" ht="15" hidden="false" customHeight="true" outlineLevel="0" collapsed="false">
      <c r="F343" s="1" t="str">
        <f aca="false">IF(Data!$G332&lt;=75,Data!$A332,"")</f>
        <v/>
      </c>
      <c r="G343" s="21" t="n">
        <f aca="false">IF(Data!$G332&gt;75,Data!$A332,"")</f>
        <v>44.6</v>
      </c>
    </row>
    <row r="344" customFormat="false" ht="15" hidden="false" customHeight="true" outlineLevel="0" collapsed="false">
      <c r="F344" s="1" t="str">
        <f aca="false">IF(Data!$G333&lt;=75,Data!$A333,"")</f>
        <v/>
      </c>
      <c r="G344" s="21" t="n">
        <f aca="false">IF(Data!$G333&gt;75,Data!$A333,"")</f>
        <v>40.9</v>
      </c>
    </row>
    <row r="345" customFormat="false" ht="15" hidden="false" customHeight="true" outlineLevel="0" collapsed="false">
      <c r="F345" s="1" t="str">
        <f aca="false">IF(Data!$G334&lt;=75,Data!$A334,"")</f>
        <v/>
      </c>
      <c r="G345" s="21" t="n">
        <f aca="false">IF(Data!$G334&gt;75,Data!$A334,"")</f>
        <v>33.8</v>
      </c>
    </row>
    <row r="346" customFormat="false" ht="15" hidden="false" customHeight="true" outlineLevel="0" collapsed="false">
      <c r="F346" s="1" t="str">
        <f aca="false">IF(Data!$G335&lt;=75,Data!$A335,"")</f>
        <v/>
      </c>
      <c r="G346" s="21" t="n">
        <f aca="false">IF(Data!$G335&gt;75,Data!$A335,"")</f>
        <v>29.8</v>
      </c>
    </row>
    <row r="347" customFormat="false" ht="15" hidden="false" customHeight="true" outlineLevel="0" collapsed="false">
      <c r="F347" s="1" t="str">
        <f aca="false">IF(Data!$G336&lt;=75,Data!$A336,"")</f>
        <v/>
      </c>
      <c r="G347" s="21" t="n">
        <f aca="false">IF(Data!$G336&gt;75,Data!$A336,"")</f>
        <v>32.7</v>
      </c>
    </row>
    <row r="348" customFormat="false" ht="15" hidden="false" customHeight="true" outlineLevel="0" collapsed="false">
      <c r="F348" s="1" t="str">
        <f aca="false">IF(Data!$G337&lt;=75,Data!$A337,"")</f>
        <v/>
      </c>
      <c r="G348" s="21" t="n">
        <f aca="false">IF(Data!$G337&gt;75,Data!$A337,"")</f>
        <v>23.7</v>
      </c>
    </row>
    <row r="349" customFormat="false" ht="15" hidden="false" customHeight="true" outlineLevel="0" collapsed="false">
      <c r="F349" s="1" t="str">
        <f aca="false">IF(Data!$G338&lt;=75,Data!$A338,"")</f>
        <v/>
      </c>
      <c r="G349" s="21" t="n">
        <f aca="false">IF(Data!$G338&gt;75,Data!$A338,"")</f>
        <v>35</v>
      </c>
    </row>
    <row r="350" customFormat="false" ht="15" hidden="false" customHeight="true" outlineLevel="0" collapsed="false">
      <c r="F350" s="1" t="str">
        <f aca="false">IF(Data!$G339&lt;=75,Data!$A339,"")</f>
        <v/>
      </c>
      <c r="G350" s="21" t="n">
        <f aca="false">IF(Data!$G339&gt;75,Data!$A339,"")</f>
        <v>23.6</v>
      </c>
    </row>
    <row r="351" customFormat="false" ht="15" hidden="false" customHeight="true" outlineLevel="0" collapsed="false">
      <c r="F351" s="1" t="str">
        <f aca="false">IF(Data!$G340&lt;=75,Data!$A340,"")</f>
        <v/>
      </c>
      <c r="G351" s="21" t="n">
        <f aca="false">IF(Data!$G340&gt;75,Data!$A340,"")</f>
        <v>32.4</v>
      </c>
    </row>
    <row r="352" customFormat="false" ht="15" hidden="false" customHeight="true" outlineLevel="0" collapsed="false">
      <c r="F352" s="1" t="str">
        <f aca="false">IF(Data!$G341&lt;=75,Data!$A341,"")</f>
        <v/>
      </c>
      <c r="G352" s="21" t="n">
        <f aca="false">IF(Data!$G341&gt;75,Data!$A341,"")</f>
        <v>27.2</v>
      </c>
    </row>
    <row r="353" customFormat="false" ht="15" hidden="false" customHeight="true" outlineLevel="0" collapsed="false">
      <c r="F353" s="1" t="str">
        <f aca="false">IF(Data!$G342&lt;=75,Data!$A342,"")</f>
        <v/>
      </c>
      <c r="G353" s="21" t="n">
        <f aca="false">IF(Data!$G342&gt;75,Data!$A342,"")</f>
        <v>26.6</v>
      </c>
    </row>
    <row r="354" customFormat="false" ht="15" hidden="false" customHeight="true" outlineLevel="0" collapsed="false">
      <c r="F354" s="1" t="str">
        <f aca="false">IF(Data!$G343&lt;=75,Data!$A343,"")</f>
        <v/>
      </c>
      <c r="G354" s="21" t="n">
        <f aca="false">IF(Data!$G343&gt;75,Data!$A343,"")</f>
        <v>25.8</v>
      </c>
    </row>
    <row r="355" customFormat="false" ht="15" hidden="false" customHeight="true" outlineLevel="0" collapsed="false">
      <c r="F355" s="1" t="str">
        <f aca="false">IF(Data!$G344&lt;=75,Data!$A344,"")</f>
        <v/>
      </c>
      <c r="G355" s="21" t="n">
        <f aca="false">IF(Data!$G344&gt;75,Data!$A344,"")</f>
        <v>23.5</v>
      </c>
    </row>
    <row r="356" customFormat="false" ht="15" hidden="false" customHeight="true" outlineLevel="0" collapsed="false">
      <c r="F356" s="1" t="str">
        <f aca="false">IF(Data!$G345&lt;=75,Data!$A345,"")</f>
        <v/>
      </c>
      <c r="G356" s="21" t="n">
        <f aca="false">IF(Data!$G345&gt;75,Data!$A345,"")</f>
        <v>30</v>
      </c>
    </row>
    <row r="357" customFormat="false" ht="15" hidden="false" customHeight="true" outlineLevel="0" collapsed="false">
      <c r="F357" s="1" t="str">
        <f aca="false">IF(Data!$G346&lt;=75,Data!$A346,"")</f>
        <v/>
      </c>
      <c r="G357" s="21" t="n">
        <f aca="false">IF(Data!$G346&gt;75,Data!$A346,"")</f>
        <v>39.1</v>
      </c>
    </row>
    <row r="358" customFormat="false" ht="15" hidden="false" customHeight="true" outlineLevel="0" collapsed="false">
      <c r="F358" s="1" t="str">
        <f aca="false">IF(Data!$G347&lt;=75,Data!$A347,"")</f>
        <v/>
      </c>
      <c r="G358" s="21" t="n">
        <f aca="false">IF(Data!$G347&gt;75,Data!$A347,"")</f>
        <v>39</v>
      </c>
    </row>
    <row r="359" customFormat="false" ht="15" hidden="false" customHeight="true" outlineLevel="0" collapsed="false">
      <c r="F359" s="1" t="str">
        <f aca="false">IF(Data!$G348&lt;=75,Data!$A348,"")</f>
        <v/>
      </c>
      <c r="G359" s="21" t="n">
        <f aca="false">IF(Data!$G348&gt;75,Data!$A348,"")</f>
        <v>35.1</v>
      </c>
    </row>
    <row r="360" customFormat="false" ht="15" hidden="false" customHeight="true" outlineLevel="0" collapsed="false">
      <c r="F360" s="1" t="str">
        <f aca="false">IF(Data!$G349&lt;=75,Data!$A349,"")</f>
        <v/>
      </c>
      <c r="G360" s="21" t="n">
        <f aca="false">IF(Data!$G349&gt;75,Data!$A349,"")</f>
        <v>32.3</v>
      </c>
    </row>
    <row r="361" customFormat="false" ht="15" hidden="false" customHeight="true" outlineLevel="0" collapsed="false">
      <c r="F361" s="1" t="str">
        <f aca="false">IF(Data!$G350&lt;=75,Data!$A350,"")</f>
        <v/>
      </c>
      <c r="G361" s="21" t="n">
        <f aca="false">IF(Data!$G350&gt;75,Data!$A350,"")</f>
        <v>37</v>
      </c>
    </row>
    <row r="362" customFormat="false" ht="15" hidden="false" customHeight="true" outlineLevel="0" collapsed="false">
      <c r="F362" s="1" t="str">
        <f aca="false">IF(Data!$G351&lt;=75,Data!$A351,"")</f>
        <v/>
      </c>
      <c r="G362" s="21" t="n">
        <f aca="false">IF(Data!$G351&gt;75,Data!$A351,"")</f>
        <v>37.7</v>
      </c>
    </row>
    <row r="363" customFormat="false" ht="15" hidden="false" customHeight="true" outlineLevel="0" collapsed="false">
      <c r="F363" s="1" t="str">
        <f aca="false">IF(Data!$G352&lt;=75,Data!$A352,"")</f>
        <v/>
      </c>
      <c r="G363" s="21" t="n">
        <f aca="false">IF(Data!$G352&gt;75,Data!$A352,"")</f>
        <v>34.1</v>
      </c>
    </row>
    <row r="364" customFormat="false" ht="15" hidden="false" customHeight="true" outlineLevel="0" collapsed="false">
      <c r="F364" s="1" t="str">
        <f aca="false">IF(Data!$G353&lt;=75,Data!$A353,"")</f>
        <v/>
      </c>
      <c r="G364" s="21" t="n">
        <f aca="false">IF(Data!$G353&gt;75,Data!$A353,"")</f>
        <v>34.7</v>
      </c>
    </row>
    <row r="365" customFormat="false" ht="15" hidden="false" customHeight="true" outlineLevel="0" collapsed="false">
      <c r="F365" s="1" t="str">
        <f aca="false">IF(Data!$G354&lt;=75,Data!$A354,"")</f>
        <v/>
      </c>
      <c r="G365" s="21" t="n">
        <f aca="false">IF(Data!$G354&gt;75,Data!$A354,"")</f>
        <v>34.4</v>
      </c>
    </row>
    <row r="366" customFormat="false" ht="15" hidden="false" customHeight="true" outlineLevel="0" collapsed="false">
      <c r="F366" s="1" t="str">
        <f aca="false">IF(Data!$G355&lt;=75,Data!$A355,"")</f>
        <v/>
      </c>
      <c r="G366" s="21" t="n">
        <f aca="false">IF(Data!$G355&gt;75,Data!$A355,"")</f>
        <v>29.9</v>
      </c>
    </row>
    <row r="367" customFormat="false" ht="15" hidden="false" customHeight="true" outlineLevel="0" collapsed="false">
      <c r="F367" s="1" t="str">
        <f aca="false">IF(Data!$G356&lt;=75,Data!$A356,"")</f>
        <v/>
      </c>
      <c r="G367" s="21" t="n">
        <f aca="false">IF(Data!$G356&gt;75,Data!$A356,"")</f>
        <v>33</v>
      </c>
    </row>
    <row r="368" customFormat="false" ht="15" hidden="false" customHeight="true" outlineLevel="0" collapsed="false">
      <c r="F368" s="1" t="str">
        <f aca="false">IF(Data!$G357&lt;=75,Data!$A357,"")</f>
        <v/>
      </c>
      <c r="G368" s="21" t="n">
        <f aca="false">IF(Data!$G357&gt;75,Data!$A357,"")</f>
        <v>34.5</v>
      </c>
    </row>
    <row r="369" customFormat="false" ht="15" hidden="false" customHeight="true" outlineLevel="0" collapsed="false">
      <c r="F369" s="1" t="str">
        <f aca="false">IF(Data!$G358&lt;=75,Data!$A358,"")</f>
        <v/>
      </c>
      <c r="G369" s="21" t="n">
        <f aca="false">IF(Data!$G358&gt;75,Data!$A358,"")</f>
        <v>33.7</v>
      </c>
    </row>
    <row r="370" customFormat="false" ht="15" hidden="false" customHeight="true" outlineLevel="0" collapsed="false">
      <c r="F370" s="1" t="str">
        <f aca="false">IF(Data!$G359&lt;=75,Data!$A359,"")</f>
        <v/>
      </c>
      <c r="G370" s="21" t="n">
        <f aca="false">IF(Data!$G359&gt;75,Data!$A359,"")</f>
        <v>32.4</v>
      </c>
    </row>
    <row r="371" customFormat="false" ht="15" hidden="false" customHeight="true" outlineLevel="0" collapsed="false">
      <c r="F371" s="1" t="str">
        <f aca="false">IF(Data!$G360&lt;=75,Data!$A360,"")</f>
        <v/>
      </c>
      <c r="G371" s="21" t="n">
        <f aca="false">IF(Data!$G360&gt;75,Data!$A360,"")</f>
        <v>32.9</v>
      </c>
    </row>
    <row r="372" customFormat="false" ht="15" hidden="false" customHeight="true" outlineLevel="0" collapsed="false">
      <c r="F372" s="1" t="str">
        <f aca="false">IF(Data!$G361&lt;=75,Data!$A361,"")</f>
        <v/>
      </c>
      <c r="G372" s="21" t="n">
        <f aca="false">IF(Data!$G361&gt;75,Data!$A361,"")</f>
        <v>31.6</v>
      </c>
    </row>
    <row r="373" customFormat="false" ht="15" hidden="false" customHeight="true" outlineLevel="0" collapsed="false">
      <c r="F373" s="1" t="str">
        <f aca="false">IF(Data!$G362&lt;=75,Data!$A362,"")</f>
        <v/>
      </c>
      <c r="G373" s="21" t="n">
        <f aca="false">IF(Data!$G362&gt;75,Data!$A362,"")</f>
        <v>28.1</v>
      </c>
    </row>
    <row r="374" customFormat="false" ht="15" hidden="false" customHeight="true" outlineLevel="0" collapsed="false">
      <c r="F374" s="1" t="str">
        <f aca="false">IF(Data!$G363&lt;=75,Data!$A363,"")</f>
        <v/>
      </c>
      <c r="G374" s="21" t="n">
        <f aca="false">IF(Data!$G363&gt;75,Data!$A363,"")</f>
        <v>30.7</v>
      </c>
    </row>
    <row r="375" customFormat="false" ht="15" hidden="false" customHeight="true" outlineLevel="0" collapsed="false">
      <c r="F375" s="1" t="str">
        <f aca="false">IF(Data!$G364&lt;=75,Data!$A364,"")</f>
        <v/>
      </c>
      <c r="G375" s="21" t="n">
        <f aca="false">IF(Data!$G364&gt;75,Data!$A364,"")</f>
        <v>25.4</v>
      </c>
    </row>
    <row r="376" customFormat="false" ht="15" hidden="false" customHeight="true" outlineLevel="0" collapsed="false">
      <c r="F376" s="1" t="str">
        <f aca="false">IF(Data!$G365&lt;=75,Data!$A365,"")</f>
        <v/>
      </c>
      <c r="G376" s="21" t="n">
        <f aca="false">IF(Data!$G365&gt;75,Data!$A365,"")</f>
        <v>24.2</v>
      </c>
    </row>
    <row r="377" customFormat="false" ht="15" hidden="false" customHeight="true" outlineLevel="0" collapsed="false">
      <c r="F377" s="1" t="str">
        <f aca="false">IF(Data!$G366&lt;=75,Data!$A366,"")</f>
        <v/>
      </c>
      <c r="G377" s="21" t="n">
        <f aca="false">IF(Data!$G366&gt;75,Data!$A366,"")</f>
        <v>22.4</v>
      </c>
    </row>
    <row r="378" customFormat="false" ht="15" hidden="false" customHeight="true" outlineLevel="0" collapsed="false">
      <c r="F378" s="1" t="str">
        <f aca="false">IF(Data!$G367&lt;=75,Data!$A367,"")</f>
        <v/>
      </c>
      <c r="G378" s="21" t="n">
        <f aca="false">IF(Data!$G367&gt;75,Data!$A367,"")</f>
        <v>26.6</v>
      </c>
    </row>
    <row r="379" customFormat="false" ht="15" hidden="false" customHeight="true" outlineLevel="0" collapsed="false">
      <c r="F379" s="1" t="str">
        <f aca="false">IF(Data!$G368&lt;=75,Data!$A368,"")</f>
        <v/>
      </c>
      <c r="G379" s="21" t="n">
        <f aca="false">IF(Data!$G368&gt;75,Data!$A368,"")</f>
        <v>20.2</v>
      </c>
    </row>
    <row r="380" customFormat="false" ht="15" hidden="false" customHeight="true" outlineLevel="0" collapsed="false">
      <c r="F380" s="1" t="str">
        <f aca="false">IF(Data!$G369&lt;=75,Data!$A369,"")</f>
        <v/>
      </c>
      <c r="G380" s="21" t="n">
        <f aca="false">IF(Data!$G369&gt;75,Data!$A369,"")</f>
        <v>17.6</v>
      </c>
    </row>
    <row r="381" customFormat="false" ht="15" hidden="false" customHeight="true" outlineLevel="0" collapsed="false">
      <c r="F381" s="1" t="str">
        <f aca="false">IF(Data!$G370&lt;=75,Data!$A370,"")</f>
        <v/>
      </c>
      <c r="G381" s="21" t="n">
        <f aca="false">IF(Data!$G370&gt;75,Data!$A370,"")</f>
        <v>28</v>
      </c>
    </row>
    <row r="382" customFormat="false" ht="15" hidden="false" customHeight="true" outlineLevel="0" collapsed="false">
      <c r="F382" s="1" t="str">
        <f aca="false">IF(Data!$G371&lt;=75,Data!$A371,"")</f>
        <v/>
      </c>
      <c r="G382" s="21" t="n">
        <f aca="false">IF(Data!$G371&gt;75,Data!$A371,"")</f>
        <v>27</v>
      </c>
    </row>
    <row r="383" customFormat="false" ht="15" hidden="false" customHeight="true" outlineLevel="0" collapsed="false">
      <c r="F383" s="1" t="str">
        <f aca="false">IF(Data!$G372&lt;=75,Data!$A372,"")</f>
        <v/>
      </c>
      <c r="G383" s="21" t="n">
        <f aca="false">IF(Data!$G372&gt;75,Data!$A372,"")</f>
        <v>34</v>
      </c>
    </row>
    <row r="384" customFormat="false" ht="15" hidden="false" customHeight="true" outlineLevel="0" collapsed="false">
      <c r="F384" s="1" t="str">
        <f aca="false">IF(Data!$G373&lt;=75,Data!$A373,"")</f>
        <v/>
      </c>
      <c r="G384" s="21" t="n">
        <f aca="false">IF(Data!$G373&gt;75,Data!$A373,"")</f>
        <v>31</v>
      </c>
    </row>
    <row r="385" customFormat="false" ht="15" hidden="false" customHeight="true" outlineLevel="0" collapsed="false">
      <c r="F385" s="1" t="str">
        <f aca="false">IF(Data!$G374&lt;=75,Data!$A374,"")</f>
        <v/>
      </c>
      <c r="G385" s="21" t="n">
        <f aca="false">IF(Data!$G374&gt;75,Data!$A374,"")</f>
        <v>29</v>
      </c>
    </row>
    <row r="386" customFormat="false" ht="15" hidden="false" customHeight="true" outlineLevel="0" collapsed="false">
      <c r="F386" s="1" t="str">
        <f aca="false">IF(Data!$G375&lt;=75,Data!$A375,"")</f>
        <v/>
      </c>
      <c r="G386" s="21" t="n">
        <f aca="false">IF(Data!$G375&gt;75,Data!$A375,"")</f>
        <v>27</v>
      </c>
    </row>
    <row r="387" customFormat="false" ht="15" hidden="false" customHeight="true" outlineLevel="0" collapsed="false">
      <c r="F387" s="1" t="str">
        <f aca="false">IF(Data!$G376&lt;=75,Data!$A376,"")</f>
        <v/>
      </c>
      <c r="G387" s="21" t="n">
        <f aca="false">IF(Data!$G376&gt;75,Data!$A376,"")</f>
        <v>24</v>
      </c>
    </row>
    <row r="388" customFormat="false" ht="15" hidden="false" customHeight="true" outlineLevel="0" collapsed="false">
      <c r="F388" s="1" t="str">
        <f aca="false">IF(Data!$G377&lt;=75,Data!$A377,"")</f>
        <v/>
      </c>
      <c r="G388" s="21" t="n">
        <f aca="false">IF(Data!$G377&gt;75,Data!$A377,"")</f>
        <v>23</v>
      </c>
    </row>
    <row r="389" customFormat="false" ht="15" hidden="false" customHeight="true" outlineLevel="0" collapsed="false">
      <c r="F389" s="1" t="str">
        <f aca="false">IF(Data!$G378&lt;=75,Data!$A378,"")</f>
        <v/>
      </c>
      <c r="G389" s="21" t="n">
        <f aca="false">IF(Data!$G378&gt;75,Data!$A378,"")</f>
        <v>36</v>
      </c>
    </row>
    <row r="390" customFormat="false" ht="15" hidden="false" customHeight="true" outlineLevel="0" collapsed="false">
      <c r="F390" s="1" t="str">
        <f aca="false">IF(Data!$G379&lt;=75,Data!$A379,"")</f>
        <v/>
      </c>
      <c r="G390" s="21" t="n">
        <f aca="false">IF(Data!$G379&gt;75,Data!$A379,"")</f>
        <v>37</v>
      </c>
    </row>
    <row r="391" customFormat="false" ht="15" hidden="false" customHeight="true" outlineLevel="0" collapsed="false">
      <c r="F391" s="1" t="str">
        <f aca="false">IF(Data!$G380&lt;=75,Data!$A380,"")</f>
        <v/>
      </c>
      <c r="G391" s="21" t="n">
        <f aca="false">IF(Data!$G380&gt;75,Data!$A380,"")</f>
        <v>31</v>
      </c>
    </row>
    <row r="392" customFormat="false" ht="15" hidden="false" customHeight="true" outlineLevel="0" collapsed="false">
      <c r="F392" s="1" t="str">
        <f aca="false">IF(Data!$G381&lt;=75,Data!$A381,"")</f>
        <v/>
      </c>
      <c r="G392" s="21" t="n">
        <f aca="false">IF(Data!$G381&gt;75,Data!$A381,"")</f>
        <v>38</v>
      </c>
    </row>
    <row r="393" customFormat="false" ht="15" hidden="false" customHeight="true" outlineLevel="0" collapsed="false">
      <c r="F393" s="1" t="str">
        <f aca="false">IF(Data!$G382&lt;=75,Data!$A382,"")</f>
        <v/>
      </c>
      <c r="G393" s="21" t="n">
        <f aca="false">IF(Data!$G382&gt;75,Data!$A382,"")</f>
        <v>36</v>
      </c>
    </row>
    <row r="394" customFormat="false" ht="15" hidden="false" customHeight="true" outlineLevel="0" collapsed="false">
      <c r="F394" s="1" t="str">
        <f aca="false">IF(Data!$G383&lt;=75,Data!$A383,"")</f>
        <v/>
      </c>
      <c r="G394" s="21" t="n">
        <f aca="false">IF(Data!$G383&gt;75,Data!$A383,"")</f>
        <v>36</v>
      </c>
    </row>
    <row r="395" customFormat="false" ht="15" hidden="false" customHeight="true" outlineLevel="0" collapsed="false">
      <c r="F395" s="1" t="str">
        <f aca="false">IF(Data!$G384&lt;=75,Data!$A384,"")</f>
        <v/>
      </c>
      <c r="G395" s="21" t="n">
        <f aca="false">IF(Data!$G384&gt;75,Data!$A384,"")</f>
        <v>36</v>
      </c>
    </row>
    <row r="396" customFormat="false" ht="15" hidden="false" customHeight="true" outlineLevel="0" collapsed="false">
      <c r="F396" s="1" t="str">
        <f aca="false">IF(Data!$G385&lt;=75,Data!$A385,"")</f>
        <v/>
      </c>
      <c r="G396" s="21" t="n">
        <f aca="false">IF(Data!$G385&gt;75,Data!$A385,"")</f>
        <v>34</v>
      </c>
    </row>
    <row r="397" customFormat="false" ht="15" hidden="false" customHeight="true" outlineLevel="0" collapsed="false">
      <c r="F397" s="1" t="str">
        <f aca="false">IF(Data!$G386&lt;=75,Data!$A386,"")</f>
        <v/>
      </c>
      <c r="G397" s="21" t="n">
        <f aca="false">IF(Data!$G386&gt;75,Data!$A386,"")</f>
        <v>38</v>
      </c>
    </row>
    <row r="398" customFormat="false" ht="15" hidden="false" customHeight="true" outlineLevel="0" collapsed="false">
      <c r="F398" s="1" t="str">
        <f aca="false">IF(Data!$G387&lt;=75,Data!$A387,"")</f>
        <v/>
      </c>
      <c r="G398" s="21" t="n">
        <f aca="false">IF(Data!$G387&gt;75,Data!$A387,"")</f>
        <v>32</v>
      </c>
    </row>
    <row r="399" customFormat="false" ht="15" hidden="false" customHeight="true" outlineLevel="0" collapsed="false">
      <c r="F399" s="1" t="str">
        <f aca="false">IF(Data!$G388&lt;=75,Data!$A388,"")</f>
        <v/>
      </c>
      <c r="G399" s="21" t="n">
        <f aca="false">IF(Data!$G388&gt;75,Data!$A388,"")</f>
        <v>38</v>
      </c>
    </row>
    <row r="400" customFormat="false" ht="15" hidden="false" customHeight="true" outlineLevel="0" collapsed="false">
      <c r="F400" s="1" t="str">
        <f aca="false">IF(Data!$G389&lt;=75,Data!$A389,"")</f>
        <v/>
      </c>
      <c r="G400" s="21" t="n">
        <f aca="false">IF(Data!$G389&gt;75,Data!$A389,"")</f>
        <v>25</v>
      </c>
    </row>
    <row r="401" customFormat="false" ht="15" hidden="false" customHeight="true" outlineLevel="0" collapsed="false">
      <c r="F401" s="1" t="str">
        <f aca="false">IF(Data!$G390&lt;=75,Data!$A390,"")</f>
        <v/>
      </c>
      <c r="G401" s="21" t="n">
        <f aca="false">IF(Data!$G390&gt;75,Data!$A390,"")</f>
        <v>38</v>
      </c>
    </row>
    <row r="402" customFormat="false" ht="15" hidden="false" customHeight="true" outlineLevel="0" collapsed="false">
      <c r="F402" s="1" t="str">
        <f aca="false">IF(Data!$G391&lt;=75,Data!$A391,"")</f>
        <v/>
      </c>
      <c r="G402" s="21" t="n">
        <f aca="false">IF(Data!$G391&gt;75,Data!$A391,"")</f>
        <v>26</v>
      </c>
    </row>
    <row r="403" customFormat="false" ht="15" hidden="false" customHeight="true" outlineLevel="0" collapsed="false">
      <c r="F403" s="1" t="str">
        <f aca="false">IF(Data!$G392&lt;=75,Data!$A392,"")</f>
        <v/>
      </c>
      <c r="G403" s="21" t="n">
        <f aca="false">IF(Data!$G392&gt;75,Data!$A392,"")</f>
        <v>22</v>
      </c>
    </row>
    <row r="404" customFormat="false" ht="15" hidden="false" customHeight="true" outlineLevel="0" collapsed="false">
      <c r="F404" s="1" t="str">
        <f aca="false">IF(Data!$G393&lt;=75,Data!$A393,"")</f>
        <v/>
      </c>
      <c r="G404" s="21" t="n">
        <f aca="false">IF(Data!$G393&gt;75,Data!$A393,"")</f>
        <v>32</v>
      </c>
    </row>
    <row r="405" customFormat="false" ht="15" hidden="false" customHeight="true" outlineLevel="0" collapsed="false">
      <c r="F405" s="1" t="str">
        <f aca="false">IF(Data!$G394&lt;=75,Data!$A394,"")</f>
        <v/>
      </c>
      <c r="G405" s="21" t="n">
        <f aca="false">IF(Data!$G394&gt;75,Data!$A394,"")</f>
        <v>36</v>
      </c>
    </row>
    <row r="406" customFormat="false" ht="15" hidden="false" customHeight="true" outlineLevel="0" collapsed="false">
      <c r="F406" s="1" t="str">
        <f aca="false">IF(Data!$G395&lt;=75,Data!$A395,"")</f>
        <v/>
      </c>
      <c r="G406" s="21" t="n">
        <f aca="false">IF(Data!$G395&gt;75,Data!$A395,"")</f>
        <v>27</v>
      </c>
    </row>
    <row r="407" customFormat="false" ht="15" hidden="false" customHeight="true" outlineLevel="0" collapsed="false">
      <c r="F407" s="1" t="str">
        <f aca="false">IF(Data!$G396&lt;=75,Data!$A396,"")</f>
        <v/>
      </c>
      <c r="G407" s="21" t="n">
        <f aca="false">IF(Data!$G396&gt;75,Data!$A396,"")</f>
        <v>27</v>
      </c>
    </row>
    <row r="408" customFormat="false" ht="15" hidden="false" customHeight="true" outlineLevel="0" collapsed="false">
      <c r="F408" s="1" t="str">
        <f aca="false">IF(Data!$G397&lt;=75,Data!$A397,"")</f>
        <v/>
      </c>
      <c r="G408" s="21" t="n">
        <f aca="false">IF(Data!$G397&gt;75,Data!$A397,"")</f>
        <v>44</v>
      </c>
    </row>
    <row r="409" customFormat="false" ht="15" hidden="false" customHeight="true" outlineLevel="0" collapsed="false">
      <c r="F409" s="1" t="str">
        <f aca="false">IF(Data!$G398&lt;=75,Data!$A398,"")</f>
        <v/>
      </c>
      <c r="G409" s="21" t="n">
        <f aca="false">IF(Data!$G398&gt;75,Data!$A398,"")</f>
        <v>32</v>
      </c>
    </row>
    <row r="410" customFormat="false" ht="15" hidden="false" customHeight="true" outlineLevel="0" collapsed="false">
      <c r="F410" s="1" t="str">
        <f aca="false">IF(Data!$G399&lt;=75,Data!$A399,"")</f>
        <v/>
      </c>
      <c r="G410" s="21" t="n">
        <f aca="false">IF(Data!$G399&gt;75,Data!$A399,"")</f>
        <v>28</v>
      </c>
    </row>
    <row r="411" customFormat="false" ht="15" hidden="false" customHeight="true" outlineLevel="0" collapsed="false">
      <c r="F411" s="1" t="str">
        <f aca="false">IF(Data!$G400&lt;=75,Data!$A400,"")</f>
        <v/>
      </c>
      <c r="G411" s="21" t="n">
        <f aca="false">IF(Data!$G400&gt;75,Data!$A400,"")</f>
        <v>31</v>
      </c>
    </row>
  </sheetData>
  <mergeCells count="13">
    <mergeCell ref="A1:D1"/>
    <mergeCell ref="A3:D3"/>
    <mergeCell ref="A4:D6"/>
    <mergeCell ref="A11:D11"/>
    <mergeCell ref="A12:D12"/>
    <mergeCell ref="A13:D13"/>
    <mergeCell ref="A18:D18"/>
    <mergeCell ref="C19:D19"/>
    <mergeCell ref="B22:D22"/>
    <mergeCell ref="A24:D24"/>
    <mergeCell ref="A25:D26"/>
    <mergeCell ref="A28:D28"/>
    <mergeCell ref="A29:D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2026-07-11T18:47:58Z</dcterms:created>
  <dc:creator>openpyxl</dc:creator>
  <dc:description/>
  <dc:language>en-US</dc:language>
  <cp:lastModifiedBy/>
  <dcterms:modified xsi:type="dcterms:W3CDTF">2026-07-11T18:50:59Z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